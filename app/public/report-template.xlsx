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shboard" sheetId="2" state="visible" r:id="rId2"/>
    <sheet xmlns:r="http://schemas.openxmlformats.org/officeDocument/2006/relationships" name="Rubric" sheetId="3" state="visible" r:id="rId3"/>
    <sheet xmlns:r="http://schemas.openxmlformats.org/officeDocument/2006/relationships" name="Mapping" sheetId="4" state="visible" r:id="rId4"/>
    <sheet xmlns:r="http://schemas.openxmlformats.org/officeDocument/2006/relationships" name="3A Intra" sheetId="5" state="visible" r:id="rId5"/>
    <sheet xmlns:r="http://schemas.openxmlformats.org/officeDocument/2006/relationships" name="3B Intra" sheetId="6" state="visible" r:id="rId6"/>
    <sheet xmlns:r="http://schemas.openxmlformats.org/officeDocument/2006/relationships" name="3 Inter" sheetId="7" state="visible" r:id="rId7"/>
    <sheet xmlns:r="http://schemas.openxmlformats.org/officeDocument/2006/relationships" name="5A Intra" sheetId="8" state="visible" r:id="rId8"/>
    <sheet xmlns:r="http://schemas.openxmlformats.org/officeDocument/2006/relationships" name="5B Intra" sheetId="9" state="visible" r:id="rId9"/>
    <sheet xmlns:r="http://schemas.openxmlformats.org/officeDocument/2006/relationships" name="5 Inter" sheetId="10" state="visible" r:id="rId10"/>
    <sheet xmlns:r="http://schemas.openxmlformats.org/officeDocument/2006/relationships" name="SDG List" sheetId="11" state="visible" r:id="rId11"/>
  </sheets>
  <definedNames>
    <definedName name="SDGList">'SDG List'!$A$2:$A$18</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12">
    <font>
      <name val="Calibri"/>
      <family val="2"/>
      <color theme="1"/>
      <sz val="11"/>
      <scheme val="minor"/>
    </font>
    <font>
      <name val="Arial"/>
      <b val="1"/>
      <color rgb="00FFFFFF"/>
      <sz val="13"/>
    </font>
    <font>
      <name val="Arial"/>
      <b val="1"/>
      <sz val="10"/>
    </font>
    <font>
      <name val="Arial"/>
      <color rgb="000000FF"/>
      <sz val="10"/>
    </font>
    <font>
      <name val="Arial"/>
      <sz val="10"/>
    </font>
    <font>
      <name val="Arial"/>
      <i val="1"/>
      <sz val="9"/>
    </font>
    <font>
      <name val="Arial"/>
      <b val="1"/>
      <color rgb="00FFFFFF"/>
      <sz val="10"/>
    </font>
    <font>
      <name val="Arial"/>
      <b val="1"/>
      <color rgb="00000000"/>
      <sz val="10"/>
    </font>
    <font>
      <name val="Arial"/>
      <b val="1"/>
      <color rgb="00000000"/>
      <sz val="8"/>
    </font>
    <font>
      <name val="Arial"/>
      <b val="1"/>
      <color rgb="00000000"/>
      <sz val="9"/>
    </font>
    <font>
      <name val="Arial"/>
      <b val="1"/>
      <color rgb="00FFFFFF"/>
      <sz val="14"/>
    </font>
    <font>
      <name val="Arial"/>
      <i val="1"/>
      <sz val="10"/>
    </font>
  </fonts>
  <fills count="15">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7030A0"/>
        <bgColor rgb="007030A0"/>
      </patternFill>
    </fill>
    <fill>
      <patternFill patternType="solid">
        <fgColor rgb="00EDEDED"/>
        <bgColor rgb="00EDEDED"/>
      </patternFill>
    </fill>
    <fill>
      <patternFill patternType="solid">
        <fgColor rgb="00375623"/>
        <bgColor rgb="00375623"/>
      </patternFill>
    </fill>
    <fill>
      <patternFill patternType="solid">
        <fgColor rgb="00E2F0D9"/>
        <bgColor rgb="00E2F0D9"/>
      </patternFill>
    </fill>
    <fill>
      <patternFill patternType="solid">
        <fgColor rgb="00DDEBF7"/>
        <bgColor rgb="00DDEBF7"/>
      </patternFill>
    </fill>
    <fill>
      <patternFill patternType="solid">
        <fgColor rgb="00E2EFDA"/>
        <bgColor rgb="00E2EFDA"/>
      </patternFill>
    </fill>
    <fill>
      <patternFill patternType="solid">
        <fgColor rgb="00FCE4D6"/>
        <bgColor rgb="00FCE4D6"/>
      </patternFill>
    </fill>
    <fill>
      <patternFill patternType="solid">
        <fgColor rgb="00808080"/>
        <bgColor rgb="00808080"/>
      </patternFill>
    </fill>
    <fill>
      <patternFill patternType="solid">
        <fgColor rgb="002F5597"/>
        <bgColor rgb="002F5597"/>
      </patternFill>
    </fill>
    <fill>
      <patternFill patternType="solid">
        <fgColor rgb="00D9E1F2"/>
        <bgColor rgb="00D9E1F2"/>
      </patternFill>
    </fill>
    <fill>
      <patternFill patternType="solid">
        <fgColor rgb="00E4DFEC"/>
        <bgColor rgb="00E4DFEC"/>
      </patternFill>
    </fill>
  </fills>
  <borders count="6">
    <border>
      <left/>
      <right/>
      <top/>
      <bottom/>
      <diagonal/>
    </border>
    <border>
      <left style="thin">
        <color rgb="00A6A6A6"/>
      </left>
      <right style="thin">
        <color rgb="00A6A6A6"/>
      </right>
      <top style="thin">
        <color rgb="00A6A6A6"/>
      </top>
      <bottom style="thin">
        <color rgb="00A6A6A6"/>
      </bottom>
    </border>
    <border>
      <left/>
      <right/>
      <top style="thin">
        <color rgb="00A6A6A6"/>
      </top>
      <bottom/>
      <diagonal/>
    </border>
    <border>
      <left/>
      <right style="thin">
        <color rgb="00A6A6A6"/>
      </right>
      <top style="thin">
        <color rgb="00A6A6A6"/>
      </top>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s>
  <cellStyleXfs count="1">
    <xf numFmtId="0" fontId="0" fillId="0" borderId="0"/>
  </cellStyleXfs>
  <cellXfs count="72">
    <xf numFmtId="0" fontId="0" fillId="0" borderId="0" pivotButton="0" quotePrefix="0" xfId="0"/>
    <xf numFmtId="0" fontId="10" fillId="2" borderId="1" applyAlignment="1" pivotButton="0" quotePrefix="0" xfId="0">
      <alignment horizontal="center" vertical="center" wrapText="1"/>
    </xf>
    <xf numFmtId="0" fontId="6" fillId="12" borderId="1" applyAlignment="1" pivotButton="0" quotePrefix="0" xfId="0">
      <alignment horizontal="center" vertical="center" wrapText="1"/>
    </xf>
    <xf numFmtId="0" fontId="2" fillId="5" borderId="1" applyAlignment="1" pivotButton="0" quotePrefix="0" xfId="0">
      <alignment horizontal="left" vertical="center" wrapText="1"/>
    </xf>
    <xf numFmtId="0" fontId="0" fillId="0" borderId="5" pivotButton="0" quotePrefix="0" xfId="0"/>
    <xf numFmtId="0" fontId="4" fillId="0" borderId="1" applyAlignment="1" pivotButton="0" quotePrefix="0" xfId="0">
      <alignment horizontal="left" vertical="center" wrapText="1"/>
    </xf>
    <xf numFmtId="0" fontId="3" fillId="3" borderId="1" applyAlignment="1" applyProtection="1" pivotButton="0" quotePrefix="0" xfId="0">
      <alignment horizontal="left" vertical="center" wrapText="1"/>
      <protection locked="0" hidden="0"/>
    </xf>
    <xf numFmtId="0" fontId="7" fillId="13" borderId="1" applyAlignment="1" pivotButton="0" quotePrefix="0" xfId="0">
      <alignment horizontal="center" vertical="center" wrapText="1"/>
    </xf>
    <xf numFmtId="0" fontId="11"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14" borderId="1" applyAlignment="1" pivotButton="0" quotePrefix="0" xfId="0">
      <alignment horizontal="center" vertical="center" wrapText="1"/>
    </xf>
    <xf numFmtId="1" fontId="4" fillId="0" borderId="1" applyAlignment="1" pivotButton="0" quotePrefix="0" xfId="0">
      <alignment horizontal="center" vertical="center" wrapText="1"/>
    </xf>
    <xf numFmtId="165" fontId="4" fillId="0" borderId="1" applyAlignment="1" pivotButton="0" quotePrefix="0" xfId="0">
      <alignment horizontal="center" vertical="center" wrapText="1"/>
    </xf>
    <xf numFmtId="0" fontId="2" fillId="13" borderId="1" applyAlignment="1" pivotButton="0" quotePrefix="0" xfId="0">
      <alignment horizontal="left" vertical="center" wrapText="1"/>
    </xf>
    <xf numFmtId="1" fontId="2" fillId="13" borderId="1" applyAlignment="1" pivotButton="0" quotePrefix="0" xfId="0">
      <alignment horizontal="center" vertical="center" wrapText="1"/>
    </xf>
    <xf numFmtId="165" fontId="2" fillId="13"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7" borderId="1" applyAlignment="1" pivotButton="0" quotePrefix="0" xfId="0">
      <alignment horizontal="center" vertical="center" wrapText="1"/>
    </xf>
    <xf numFmtId="2" fontId="2" fillId="0" borderId="1" applyAlignment="1" pivotButton="0" quotePrefix="0" xfId="0">
      <alignment horizontal="center" vertical="center" wrapText="1"/>
    </xf>
    <xf numFmtId="2" fontId="2" fillId="13" borderId="1" applyAlignment="1" pivotButton="0" quotePrefix="0" xfId="0">
      <alignment horizontal="center" vertical="center" wrapText="1"/>
    </xf>
    <xf numFmtId="1" fontId="2" fillId="0" borderId="1" applyAlignment="1" pivotButton="0" quotePrefix="0" xfId="0">
      <alignment horizontal="center" vertical="center" wrapText="1"/>
    </xf>
    <xf numFmtId="0" fontId="0" fillId="0" borderId="1" pivotButton="0" quotePrefix="0" xfId="0"/>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2" fillId="0" borderId="1" applyAlignment="1" pivotButton="0" quotePrefix="0" xfId="0">
      <alignment horizontal="center" vertical="center" wrapText="1"/>
    </xf>
    <xf numFmtId="164" fontId="4" fillId="0" borderId="1" applyAlignment="1" pivotButton="0" quotePrefix="0" xfId="0">
      <alignment horizontal="center" vertical="center" wrapText="1"/>
    </xf>
    <xf numFmtId="0" fontId="1" fillId="2" borderId="1" applyAlignment="1" pivotButton="0" quotePrefix="0" xfId="0">
      <alignment horizontal="center" vertical="center" wrapText="1"/>
    </xf>
    <xf numFmtId="0" fontId="5" fillId="0" borderId="0" applyAlignment="1" pivotButton="0" quotePrefix="0" xfId="0">
      <alignment horizontal="left" vertical="center" wrapText="1"/>
    </xf>
    <xf numFmtId="0" fontId="4" fillId="0" borderId="1" applyAlignment="1" pivotButton="0" quotePrefix="0" xfId="0">
      <alignment horizontal="center" vertical="center" wrapText="1"/>
    </xf>
    <xf numFmtId="0" fontId="3" fillId="3" borderId="1" applyAlignment="1" applyProtection="1" pivotButton="0" quotePrefix="0" xfId="0">
      <alignment horizontal="center" vertical="center" wrapText="1"/>
      <protection locked="0" hidden="0"/>
    </xf>
    <xf numFmtId="0" fontId="4" fillId="5"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0" fillId="0" borderId="4" applyProtection="1" pivotButton="0" quotePrefix="0" xfId="0">
      <protection locked="0" hidden="0"/>
    </xf>
    <xf numFmtId="0" fontId="0" fillId="0" borderId="5" applyProtection="1" pivotButton="0" quotePrefix="0" xfId="0">
      <protection locked="0" hidden="0"/>
    </xf>
    <xf numFmtId="9" fontId="3" fillId="3" borderId="1" applyAlignment="1" applyProtection="1" pivotButton="0" quotePrefix="0" xfId="0">
      <alignment horizontal="center" vertical="center" wrapText="1"/>
      <protection locked="0" hidden="0"/>
    </xf>
    <xf numFmtId="0" fontId="0" fillId="0" borderId="4" pivotButton="0" quotePrefix="0" xfId="0"/>
    <xf numFmtId="1" fontId="3" fillId="3" borderId="1" applyAlignment="1" applyProtection="1" pivotButton="0" quotePrefix="0" xfId="0">
      <alignment horizontal="center" vertical="center" wrapText="1"/>
      <protection locked="0" hidden="0"/>
    </xf>
    <xf numFmtId="0" fontId="6"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8" borderId="1" applyAlignment="1" pivotButton="0" quotePrefix="0" xfId="0">
      <alignment horizontal="center" vertical="center" wrapText="1"/>
    </xf>
    <xf numFmtId="0" fontId="9" fillId="7"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5" borderId="1" applyAlignment="1" pivotButton="0" quotePrefix="0" xfId="0">
      <alignment horizontal="center" vertical="center" wrapText="1"/>
    </xf>
    <xf numFmtId="0" fontId="6" fillId="13" borderId="1" applyAlignment="1" pivotButton="0" quotePrefix="0" xfId="0">
      <alignment horizontal="center" vertical="center" wrapText="1"/>
    </xf>
    <xf numFmtId="0" fontId="8" fillId="14" borderId="1" applyAlignment="1" pivotButton="0" quotePrefix="0" xfId="0">
      <alignment horizontal="center" vertical="center" wrapText="1"/>
    </xf>
    <xf numFmtId="164" fontId="4" fillId="5" borderId="1" applyAlignment="1" pivotButton="0" quotePrefix="0" xfId="0">
      <alignment horizontal="center" vertical="center" wrapText="1"/>
    </xf>
    <xf numFmtId="2" fontId="2" fillId="7" borderId="1" applyAlignment="1" pivotButton="0" quotePrefix="0" xfId="0">
      <alignment horizontal="center" vertical="center" wrapText="1"/>
    </xf>
    <xf numFmtId="164" fontId="2" fillId="13" borderId="1" applyAlignment="1" pivotButton="0" quotePrefix="0" xfId="0">
      <alignment horizontal="center" vertical="center" wrapText="1"/>
    </xf>
    <xf numFmtId="165" fontId="4" fillId="13" borderId="1" applyAlignment="1" pivotButton="0" quotePrefix="0" xfId="0">
      <alignment horizontal="center" vertical="center" wrapText="1"/>
    </xf>
    <xf numFmtId="0" fontId="4" fillId="13" borderId="1" applyAlignment="1" pivotButton="0" quotePrefix="0" xfId="0">
      <alignment horizontal="center" vertical="center" wrapText="1"/>
    </xf>
    <xf numFmtId="165" fontId="4" fillId="14" borderId="1" applyAlignment="1" pivotButton="0" quotePrefix="0" xfId="0">
      <alignment horizontal="center" vertical="center" wrapText="1"/>
    </xf>
    <xf numFmtId="166" fontId="4" fillId="0" borderId="1" applyAlignment="1" pivotButton="0" quotePrefix="0" xfId="0">
      <alignment horizontal="center" vertical="center" wrapText="1"/>
    </xf>
    <xf numFmtId="165" fontId="4" fillId="5" borderId="1" applyAlignment="1" pivotButton="0" quotePrefix="0" xfId="0">
      <alignment horizontal="center" vertical="center" wrapText="1"/>
    </xf>
    <xf numFmtId="165" fontId="2" fillId="14" borderId="1" applyAlignment="1" pivotButton="0" quotePrefix="0" xfId="0">
      <alignment horizontal="center" vertical="center" wrapText="1"/>
    </xf>
    <xf numFmtId="1" fontId="2" fillId="14" borderId="1" applyAlignment="1" pivotButton="0" quotePrefix="0" xfId="0">
      <alignment horizontal="center" vertical="center" wrapText="1"/>
    </xf>
    <xf numFmtId="0" fontId="2" fillId="7" borderId="1" applyAlignment="1" pivotButton="0" quotePrefix="0" xfId="0">
      <alignment horizontal="left" vertical="center" wrapText="1"/>
    </xf>
    <xf numFmtId="165" fontId="2" fillId="7" borderId="1" applyAlignment="1" pivotButton="0" quotePrefix="0" xfId="0">
      <alignment horizontal="center" vertical="center" wrapText="1"/>
    </xf>
    <xf numFmtId="1" fontId="2" fillId="7" borderId="1" applyAlignment="1" pivotButton="0" quotePrefix="0" xfId="0">
      <alignment horizontal="center" vertical="center" wrapText="1"/>
    </xf>
  </cellXfs>
  <cellStyles count="1">
    <cellStyle name="Normal" xfId="0" builtinId="0" hidden="0"/>
  </cellStyles>
  <dxfs count="6">
    <dxf>
      <fill>
        <patternFill patternType="solid">
          <fgColor rgb="00C6EFCE"/>
          <bgColor rgb="00C6EFCE"/>
        </patternFill>
      </fill>
    </dxf>
    <dxf>
      <fill>
        <patternFill patternType="solid">
          <fgColor rgb="00FFEB9C"/>
          <bgColor rgb="00FFEB9C"/>
        </patternFill>
      </fill>
    </dxf>
    <dxf>
      <fill>
        <patternFill patternType="solid">
          <fgColor rgb="00FCE4D6"/>
          <bgColor rgb="00FCE4D6"/>
        </patternFill>
      </fill>
    </dxf>
    <dxf>
      <fill>
        <patternFill patternType="solid">
          <fgColor rgb="00FFC7CE"/>
          <bgColor rgb="00FFC7CE"/>
        </patternFill>
      </fill>
    </dxf>
    <dxf>
      <font>
        <name val="Arial"/>
        <b val="1"/>
        <color rgb="00006100"/>
      </font>
      <fill>
        <patternFill patternType="solid">
          <fgColor rgb="00C6EFCE"/>
          <bgColor rgb="00C6EF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Overall PO / PSO attainment</a:t>
            </a:r>
          </a:p>
        </rich>
      </tx>
    </title>
    <plotArea>
      <barChart>
        <barDir val="col"/>
        <grouping val="clustered"/>
        <ser>
          <idx val="0"/>
          <order val="0"/>
          <tx>
            <v>Average attainment</v>
          </tx>
          <spPr>
            <a:ln xmlns:a="http://schemas.openxmlformats.org/drawingml/2006/main">
              <a:prstDash val="solid"/>
            </a:ln>
          </spPr>
          <cat>
            <numRef>
              <f>'Dashboard'!$C$5:$O$5</f>
            </numRef>
          </cat>
          <val>
            <numRef>
              <f>'Dashboard'!$C$12:$O$12</f>
            </numRef>
          </val>
        </ser>
        <ser>
          <idx val="1"/>
          <order val="1"/>
          <tx>
            <v>% teams ≥ target</v>
          </tx>
          <spPr>
            <a:ln xmlns:a="http://schemas.openxmlformats.org/drawingml/2006/main">
              <a:prstDash val="solid"/>
            </a:ln>
          </spPr>
          <cat>
            <numRef>
              <f>'Dashboard'!$C$5:$O$5</f>
            </numRef>
          </cat>
          <val>
            <numRef>
              <f>'Dashboard'!$C$22:$O$22</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Overall PO / PSO attainment level (0–3)</a:t>
            </a:r>
          </a:p>
        </rich>
      </tx>
    </title>
    <plotArea>
      <barChart>
        <barDir val="col"/>
        <grouping val="clustered"/>
        <ser>
          <idx val="0"/>
          <order val="0"/>
          <tx>
            <v>Level</v>
          </tx>
          <spPr>
            <a:ln xmlns:a="http://schemas.openxmlformats.org/drawingml/2006/main">
              <a:prstDash val="solid"/>
            </a:ln>
          </spPr>
          <cat>
            <numRef>
              <f>'Dashboard'!$C$5:$O$5</f>
            </numRef>
          </cat>
          <val>
            <numRef>
              <f>'Dashboard'!$C$32:$O$32</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PO / PSO average attainment by event</a:t>
            </a:r>
          </a:p>
        </rich>
      </tx>
    </title>
    <plotArea>
      <barChart>
        <barDir val="col"/>
        <grouping val="clustered"/>
        <ser>
          <idx val="0"/>
          <order val="0"/>
          <tx>
            <v>3rd Sem A — Intra</v>
          </tx>
          <spPr>
            <a:ln xmlns:a="http://schemas.openxmlformats.org/drawingml/2006/main">
              <a:prstDash val="solid"/>
            </a:ln>
          </spPr>
          <cat>
            <numRef>
              <f>'Dashboard'!$C$5:$O$5</f>
            </numRef>
          </cat>
          <val>
            <numRef>
              <f>'Dashboard'!$C$6:$O$6</f>
            </numRef>
          </val>
        </ser>
        <ser>
          <idx val="1"/>
          <order val="1"/>
          <tx>
            <v>3rd Sem B — Intra</v>
          </tx>
          <spPr>
            <a:ln xmlns:a="http://schemas.openxmlformats.org/drawingml/2006/main">
              <a:prstDash val="solid"/>
            </a:ln>
          </spPr>
          <cat>
            <numRef>
              <f>'Dashboard'!$C$5:$O$5</f>
            </numRef>
          </cat>
          <val>
            <numRef>
              <f>'Dashboard'!$C$7:$O$7</f>
            </numRef>
          </val>
        </ser>
        <ser>
          <idx val="2"/>
          <order val="2"/>
          <tx>
            <v>3rd Sem — Inter-Section</v>
          </tx>
          <spPr>
            <a:ln xmlns:a="http://schemas.openxmlformats.org/drawingml/2006/main">
              <a:prstDash val="solid"/>
            </a:ln>
          </spPr>
          <cat>
            <numRef>
              <f>'Dashboard'!$C$5:$O$5</f>
            </numRef>
          </cat>
          <val>
            <numRef>
              <f>'Dashboard'!$C$8:$O$8</f>
            </numRef>
          </val>
        </ser>
        <ser>
          <idx val="3"/>
          <order val="3"/>
          <tx>
            <v>5th Sem A — Intra</v>
          </tx>
          <spPr>
            <a:ln xmlns:a="http://schemas.openxmlformats.org/drawingml/2006/main">
              <a:prstDash val="solid"/>
            </a:ln>
          </spPr>
          <cat>
            <numRef>
              <f>'Dashboard'!$C$5:$O$5</f>
            </numRef>
          </cat>
          <val>
            <numRef>
              <f>'Dashboard'!$C$9:$O$9</f>
            </numRef>
          </val>
        </ser>
        <ser>
          <idx val="4"/>
          <order val="4"/>
          <tx>
            <v>5th Sem B — Intra</v>
          </tx>
          <spPr>
            <a:ln xmlns:a="http://schemas.openxmlformats.org/drawingml/2006/main">
              <a:prstDash val="solid"/>
            </a:ln>
          </spPr>
          <cat>
            <numRef>
              <f>'Dashboard'!$C$5:$O$5</f>
            </numRef>
          </cat>
          <val>
            <numRef>
              <f>'Dashboard'!$C$10:$O$10</f>
            </numRef>
          </val>
        </ser>
        <ser>
          <idx val="5"/>
          <order val="5"/>
          <tx>
            <v>5th Sem — Inter-Section</v>
          </tx>
          <spPr>
            <a:ln xmlns:a="http://schemas.openxmlformats.org/drawingml/2006/main">
              <a:prstDash val="solid"/>
            </a:ln>
          </spPr>
          <cat>
            <numRef>
              <f>'Dashboard'!$C$5:$O$5</f>
            </numRef>
          </cat>
          <val>
            <numRef>
              <f>'Dashboard'!$C$11:$O$11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PO / PSO profile by event (avg %)</a:t>
            </a:r>
          </a:p>
        </rich>
      </tx>
    </title>
    <plotArea>
      <radarChart>
        <radarStyle val="marker"/>
        <ser>
          <idx val="0"/>
          <order val="0"/>
          <tx>
            <v>3rd Sem A — Intra</v>
          </tx>
          <spPr>
            <a:ln xmlns:a="http://schemas.openxmlformats.org/drawingml/2006/main">
              <a:prstDash val="solid"/>
            </a:ln>
          </spPr>
          <marker>
            <symbol val="none"/>
            <spPr>
              <a:ln xmlns:a="http://schemas.openxmlformats.org/drawingml/2006/main">
                <a:prstDash val="solid"/>
              </a:ln>
            </spPr>
          </marker>
          <cat>
            <numRef>
              <f>'Dashboard'!$C$5:$O$5</f>
            </numRef>
          </cat>
          <val>
            <numRef>
              <f>'Dashboard'!$C$6:$O$6</f>
            </numRef>
          </val>
        </ser>
        <ser>
          <idx val="1"/>
          <order val="1"/>
          <tx>
            <v>3rd Sem B — Intra</v>
          </tx>
          <spPr>
            <a:ln xmlns:a="http://schemas.openxmlformats.org/drawingml/2006/main">
              <a:prstDash val="solid"/>
            </a:ln>
          </spPr>
          <marker>
            <symbol val="none"/>
            <spPr>
              <a:ln xmlns:a="http://schemas.openxmlformats.org/drawingml/2006/main">
                <a:prstDash val="solid"/>
              </a:ln>
            </spPr>
          </marker>
          <cat>
            <numRef>
              <f>'Dashboard'!$C$5:$O$5</f>
            </numRef>
          </cat>
          <val>
            <numRef>
              <f>'Dashboard'!$C$7:$O$7</f>
            </numRef>
          </val>
        </ser>
        <ser>
          <idx val="2"/>
          <order val="2"/>
          <tx>
            <v>3rd Sem — Inter-Section</v>
          </tx>
          <spPr>
            <a:ln xmlns:a="http://schemas.openxmlformats.org/drawingml/2006/main">
              <a:prstDash val="solid"/>
            </a:ln>
          </spPr>
          <marker>
            <symbol val="none"/>
            <spPr>
              <a:ln xmlns:a="http://schemas.openxmlformats.org/drawingml/2006/main">
                <a:prstDash val="solid"/>
              </a:ln>
            </spPr>
          </marker>
          <cat>
            <numRef>
              <f>'Dashboard'!$C$5:$O$5</f>
            </numRef>
          </cat>
          <val>
            <numRef>
              <f>'Dashboard'!$C$8:$O$8</f>
            </numRef>
          </val>
        </ser>
        <ser>
          <idx val="3"/>
          <order val="3"/>
          <tx>
            <v>5th Sem A — Intra</v>
          </tx>
          <spPr>
            <a:ln xmlns:a="http://schemas.openxmlformats.org/drawingml/2006/main">
              <a:prstDash val="solid"/>
            </a:ln>
          </spPr>
          <marker>
            <symbol val="none"/>
            <spPr>
              <a:ln xmlns:a="http://schemas.openxmlformats.org/drawingml/2006/main">
                <a:prstDash val="solid"/>
              </a:ln>
            </spPr>
          </marker>
          <cat>
            <numRef>
              <f>'Dashboard'!$C$5:$O$5</f>
            </numRef>
          </cat>
          <val>
            <numRef>
              <f>'Dashboard'!$C$9:$O$9</f>
            </numRef>
          </val>
        </ser>
        <ser>
          <idx val="4"/>
          <order val="4"/>
          <tx>
            <v>5th Sem B — Intra</v>
          </tx>
          <spPr>
            <a:ln xmlns:a="http://schemas.openxmlformats.org/drawingml/2006/main">
              <a:prstDash val="solid"/>
            </a:ln>
          </spPr>
          <marker>
            <symbol val="none"/>
            <spPr>
              <a:ln xmlns:a="http://schemas.openxmlformats.org/drawingml/2006/main">
                <a:prstDash val="solid"/>
              </a:ln>
            </spPr>
          </marker>
          <cat>
            <numRef>
              <f>'Dashboard'!$C$5:$O$5</f>
            </numRef>
          </cat>
          <val>
            <numRef>
              <f>'Dashboard'!$C$10:$O$10</f>
            </numRef>
          </val>
        </ser>
        <ser>
          <idx val="5"/>
          <order val="5"/>
          <tx>
            <v>5th Sem — Inter-Section</v>
          </tx>
          <spPr>
            <a:ln xmlns:a="http://schemas.openxmlformats.org/drawingml/2006/main">
              <a:prstDash val="solid"/>
            </a:ln>
          </spPr>
          <marker>
            <symbol val="none"/>
            <spPr>
              <a:ln xmlns:a="http://schemas.openxmlformats.org/drawingml/2006/main">
                <a:prstDash val="solid"/>
              </a:ln>
            </spPr>
          </marker>
          <cat>
            <numRef>
              <f>'Dashboard'!$C$5:$O$5</f>
            </numRef>
          </cat>
          <val>
            <numRef>
              <f>'Dashboard'!$C$11:$O$11</f>
            </numRef>
          </val>
        </ser>
        <axId val="10"/>
        <axId val="100"/>
      </rad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SDG attainment by event (avg contribution strength, 0–3)</a:t>
            </a:r>
          </a:p>
        </rich>
      </tx>
    </title>
    <plotArea>
      <barChart>
        <barDir val="col"/>
        <grouping val="clustered"/>
        <ser>
          <idx val="0"/>
          <order val="0"/>
          <tx>
            <v>Avg strength</v>
          </tx>
          <spPr>
            <a:ln xmlns:a="http://schemas.openxmlformats.org/drawingml/2006/main">
              <a:prstDash val="solid"/>
            </a:ln>
          </spPr>
          <cat>
            <numRef>
              <f>'Dashboard'!$A$36:$A$42</f>
            </numRef>
          </cat>
          <val>
            <numRef>
              <f>'Dashboard'!$D$36:$D$42</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SDG goal-wise average contribution strength (0–3)</a:t>
            </a:r>
          </a:p>
        </rich>
      </tx>
    </title>
    <plotArea>
      <barChart>
        <barDir val="bar"/>
        <grouping val="clustered"/>
        <ser>
          <idx val="0"/>
          <order val="0"/>
          <tx>
            <v>Avg strength</v>
          </tx>
          <spPr>
            <a:ln xmlns:a="http://schemas.openxmlformats.org/drawingml/2006/main">
              <a:prstDash val="solid"/>
            </a:ln>
          </spPr>
          <cat>
            <numRef>
              <f>'Dashboard'!$A$47:$A$63</f>
            </numRef>
          </cat>
          <val>
            <numRef>
              <f>'Dashboard'!$J$47:$J$63</f>
            </numRef>
          </val>
        </ser>
        <gapWidth val="150"/>
        <axId val="10"/>
        <axId val="100"/>
      </barChart>
      <catAx>
        <axId val="10"/>
        <scaling>
          <orientation val="maxMin"/>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SDG coverage (solutions per goal)</a:t>
            </a:r>
          </a:p>
        </rich>
      </tx>
    </title>
    <plotArea>
      <barChart>
        <barDir val="bar"/>
        <grouping val="stacked"/>
        <ser>
          <idx val="0"/>
          <order val="0"/>
          <tx>
            <v>3rd Sem A — Intra</v>
          </tx>
          <spPr>
            <a:ln xmlns:a="http://schemas.openxmlformats.org/drawingml/2006/main">
              <a:prstDash val="solid"/>
            </a:ln>
          </spPr>
          <cat>
            <numRef>
              <f>'Dashboard'!$A$47:$A$63</f>
            </numRef>
          </cat>
          <val>
            <numRef>
              <f>'Dashboard'!$B$47:$B$63</f>
            </numRef>
          </val>
        </ser>
        <ser>
          <idx val="1"/>
          <order val="1"/>
          <tx>
            <v>3rd Sem B — Intra</v>
          </tx>
          <spPr>
            <a:ln xmlns:a="http://schemas.openxmlformats.org/drawingml/2006/main">
              <a:prstDash val="solid"/>
            </a:ln>
          </spPr>
          <cat>
            <numRef>
              <f>'Dashboard'!$A$47:$A$63</f>
            </numRef>
          </cat>
          <val>
            <numRef>
              <f>'Dashboard'!$C$47:$C$63</f>
            </numRef>
          </val>
        </ser>
        <ser>
          <idx val="2"/>
          <order val="2"/>
          <tx>
            <v>3rd Sem — Inter-Section</v>
          </tx>
          <spPr>
            <a:ln xmlns:a="http://schemas.openxmlformats.org/drawingml/2006/main">
              <a:prstDash val="solid"/>
            </a:ln>
          </spPr>
          <cat>
            <numRef>
              <f>'Dashboard'!$A$47:$A$63</f>
            </numRef>
          </cat>
          <val>
            <numRef>
              <f>'Dashboard'!$D$47:$D$63</f>
            </numRef>
          </val>
        </ser>
        <ser>
          <idx val="3"/>
          <order val="3"/>
          <tx>
            <v>5th Sem A — Intra</v>
          </tx>
          <spPr>
            <a:ln xmlns:a="http://schemas.openxmlformats.org/drawingml/2006/main">
              <a:prstDash val="solid"/>
            </a:ln>
          </spPr>
          <cat>
            <numRef>
              <f>'Dashboard'!$A$47:$A$63</f>
            </numRef>
          </cat>
          <val>
            <numRef>
              <f>'Dashboard'!$E$47:$E$63</f>
            </numRef>
          </val>
        </ser>
        <ser>
          <idx val="4"/>
          <order val="4"/>
          <tx>
            <v>5th Sem B — Intra</v>
          </tx>
          <spPr>
            <a:ln xmlns:a="http://schemas.openxmlformats.org/drawingml/2006/main">
              <a:prstDash val="solid"/>
            </a:ln>
          </spPr>
          <cat>
            <numRef>
              <f>'Dashboard'!$A$47:$A$63</f>
            </numRef>
          </cat>
          <val>
            <numRef>
              <f>'Dashboard'!$F$47:$F$63</f>
            </numRef>
          </val>
        </ser>
        <ser>
          <idx val="5"/>
          <order val="5"/>
          <tx>
            <v>5th Sem — Inter-Section</v>
          </tx>
          <spPr>
            <a:ln xmlns:a="http://schemas.openxmlformats.org/drawingml/2006/main">
              <a:prstDash val="solid"/>
            </a:ln>
          </spPr>
          <cat>
            <numRef>
              <f>'Dashboard'!$A$47:$A$63</f>
            </numRef>
          </cat>
          <val>
            <numRef>
              <f>'Dashboard'!$G$47:$G$63</f>
            </numRef>
          </val>
        </ser>
        <gapWidth val="1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PO / PSO attainment</a:t>
            </a:r>
          </a:p>
        </rich>
      </tx>
    </title>
    <plotArea>
      <barChart>
        <barDir val="col"/>
        <grouping val="clustered"/>
        <ser>
          <idx val="0"/>
          <order val="0"/>
          <tx>
            <v>Average attainment</v>
          </tx>
          <spPr>
            <a:ln xmlns:a="http://schemas.openxmlformats.org/drawingml/2006/main">
              <a:prstDash val="solid"/>
            </a:ln>
          </spPr>
          <cat>
            <numRef>
              <f>'3A Intra'!$BE$5:$BQ$5</f>
            </numRef>
          </cat>
          <val>
            <numRef>
              <f>'3A Intra'!$BE$30:$BQ$30</f>
            </numRef>
          </val>
        </ser>
        <ser>
          <idx val="1"/>
          <order val="1"/>
          <tx>
            <v>% teams ≥ target</v>
          </tx>
          <spPr>
            <a:ln xmlns:a="http://schemas.openxmlformats.org/drawingml/2006/main">
              <a:prstDash val="solid"/>
            </a:ln>
          </spPr>
          <cat>
            <numRef>
              <f>'3A Intra'!$BE$5:$BQ$5</f>
            </numRef>
          </cat>
          <val>
            <numRef>
              <f>'3A Intra'!$BE$31:$BQ$31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PO / PSO attainment level (0–3)</a:t>
            </a:r>
          </a:p>
        </rich>
      </tx>
    </title>
    <plotArea>
      <barChart>
        <barDir val="col"/>
        <grouping val="clustered"/>
        <ser>
          <idx val="0"/>
          <order val="0"/>
          <tx>
            <v>Level</v>
          </tx>
          <spPr>
            <a:ln xmlns:a="http://schemas.openxmlformats.org/drawingml/2006/main">
              <a:prstDash val="solid"/>
            </a:ln>
          </spPr>
          <cat>
            <numRef>
              <f>'3A Intra'!$BE$5:$BQ$5</f>
            </numRef>
          </cat>
          <val>
            <numRef>
              <f>'3A Intra'!$BE$32:$BQ$32</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SDG goal-wise average contribution strength (0–3)</a:t>
            </a:r>
          </a:p>
        </rich>
      </tx>
    </title>
    <plotArea>
      <barChart>
        <barDir val="bar"/>
        <grouping val="clustered"/>
        <ser>
          <idx val="0"/>
          <order val="0"/>
          <tx>
            <v>Avg strength</v>
          </tx>
          <spPr>
            <a:ln xmlns:a="http://schemas.openxmlformats.org/drawingml/2006/main">
              <a:prstDash val="solid"/>
            </a:ln>
          </spPr>
          <cat>
            <numRef>
              <f>'3A Intra'!$D$41:$D$57</f>
            </numRef>
          </cat>
          <val>
            <numRef>
              <f>'3A Intra'!$G$41:$G$57</f>
            </numRef>
          </val>
        </ser>
        <gapWidth val="150"/>
        <axId val="10"/>
        <axId val="100"/>
      </barChart>
      <catAx>
        <axId val="10"/>
        <scaling>
          <orientation val="maxMin"/>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Criterion-wise average score (% of max)</a:t>
            </a:r>
          </a:p>
        </rich>
      </tx>
    </title>
    <plotArea>
      <barChart>
        <barDir val="col"/>
        <grouping val="clustered"/>
        <ser>
          <idx val="0"/>
          <order val="0"/>
          <tx>
            <v>Avg %</v>
          </tx>
          <spPr>
            <a:ln xmlns:a="http://schemas.openxmlformats.org/drawingml/2006/main">
              <a:prstDash val="solid"/>
            </a:ln>
          </spPr>
          <cat>
            <numRef>
              <f>'3A Intra'!$AP$5:$AX$5</f>
            </numRef>
          </cat>
          <val>
            <numRef>
              <f>'3A Intra'!$AP$29:$AX$29</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Team total scores</a:t>
            </a:r>
          </a:p>
        </rich>
      </tx>
    </title>
    <plotArea>
      <barChart>
        <barDir val="bar"/>
        <grouping val="clustered"/>
        <ser>
          <idx val="0"/>
          <order val="0"/>
          <tx>
            <v>Total</v>
          </tx>
          <spPr>
            <a:ln xmlns:a="http://schemas.openxmlformats.org/drawingml/2006/main">
              <a:prstDash val="solid"/>
            </a:ln>
          </spPr>
          <cat>
            <numRef>
              <f>'3A Intra'!$D$7:$D$26</f>
            </numRef>
          </cat>
          <val>
            <numRef>
              <f>'3A Intra'!$BA$7:$BA$26</f>
            </numRef>
          </val>
        </ser>
        <dLbls>
          <showLegendKey val="0"/>
          <showVal val="1"/>
          <showCatName val="0"/>
          <showSerName val="0"/>
          <showPercent val="0"/>
        </dLbls>
        <gapWidth val="150"/>
        <axId val="10"/>
        <axId val="100"/>
      </barChart>
      <catAx>
        <axId val="10"/>
        <scaling>
          <orientation val="maxMin"/>
        </scaling>
        <delete val="0"/>
        <axPos val="l"/>
        <majorTickMark val="none"/>
        <minorTickMark val="none"/>
        <crossAx val="100"/>
        <lblOffset val="100"/>
      </catAx>
      <valAx>
        <axId val="100"/>
        <scaling>
          <orientation val="minMax"/>
          <max val="100"/>
          <min val="0"/>
        </scaling>
        <delete val="0"/>
        <axPos val="l"/>
        <majorGridlines/>
        <majorTickMark val="none"/>
        <minorTickMark val="none"/>
        <crossAx val="10"/>
      </valAx>
    </plotArea>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PO / PSO attainment</a:t>
            </a:r>
          </a:p>
        </rich>
      </tx>
    </title>
    <plotArea>
      <barChart>
        <barDir val="col"/>
        <grouping val="clustered"/>
        <ser>
          <idx val="0"/>
          <order val="0"/>
          <tx>
            <v>Average attainment</v>
          </tx>
          <spPr>
            <a:ln xmlns:a="http://schemas.openxmlformats.org/drawingml/2006/main">
              <a:prstDash val="solid"/>
            </a:ln>
          </spPr>
          <cat>
            <numRef>
              <f>'3B Intra'!$BE$5:$BQ$5</f>
            </numRef>
          </cat>
          <val>
            <numRef>
              <f>'3B Intra'!$BE$30:$BQ$30</f>
            </numRef>
          </val>
        </ser>
        <ser>
          <idx val="1"/>
          <order val="1"/>
          <tx>
            <v>% teams ≥ target</v>
          </tx>
          <spPr>
            <a:ln xmlns:a="http://schemas.openxmlformats.org/drawingml/2006/main">
              <a:prstDash val="solid"/>
            </a:ln>
          </spPr>
          <cat>
            <numRef>
              <f>'3B Intra'!$BE$5:$BQ$5</f>
            </numRef>
          </cat>
          <val>
            <numRef>
              <f>'3B Intra'!$BE$31:$BQ$31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PO / PSO attainment level (0–3)</a:t>
            </a:r>
          </a:p>
        </rich>
      </tx>
    </title>
    <plotArea>
      <barChart>
        <barDir val="col"/>
        <grouping val="clustered"/>
        <ser>
          <idx val="0"/>
          <order val="0"/>
          <tx>
            <v>Level</v>
          </tx>
          <spPr>
            <a:ln xmlns:a="http://schemas.openxmlformats.org/drawingml/2006/main">
              <a:prstDash val="solid"/>
            </a:ln>
          </spPr>
          <cat>
            <numRef>
              <f>'3B Intra'!$BE$5:$BQ$5</f>
            </numRef>
          </cat>
          <val>
            <numRef>
              <f>'3B Intra'!$BE$32:$BQ$32</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SDG goal-wise average contribution strength (0–3)</a:t>
            </a:r>
          </a:p>
        </rich>
      </tx>
    </title>
    <plotArea>
      <barChart>
        <barDir val="bar"/>
        <grouping val="clustered"/>
        <ser>
          <idx val="0"/>
          <order val="0"/>
          <tx>
            <v>Avg strength</v>
          </tx>
          <spPr>
            <a:ln xmlns:a="http://schemas.openxmlformats.org/drawingml/2006/main">
              <a:prstDash val="solid"/>
            </a:ln>
          </spPr>
          <cat>
            <numRef>
              <f>'3B Intra'!$D$41:$D$57</f>
            </numRef>
          </cat>
          <val>
            <numRef>
              <f>'3B Intra'!$G$41:$G$57</f>
            </numRef>
          </val>
        </ser>
        <gapWidth val="150"/>
        <axId val="10"/>
        <axId val="100"/>
      </barChart>
      <catAx>
        <axId val="10"/>
        <scaling>
          <orientation val="maxMin"/>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Criterion-wise average score (% of max)</a:t>
            </a:r>
          </a:p>
        </rich>
      </tx>
    </title>
    <plotArea>
      <barChart>
        <barDir val="col"/>
        <grouping val="clustered"/>
        <ser>
          <idx val="0"/>
          <order val="0"/>
          <tx>
            <v>Avg %</v>
          </tx>
          <spPr>
            <a:ln xmlns:a="http://schemas.openxmlformats.org/drawingml/2006/main">
              <a:prstDash val="solid"/>
            </a:ln>
          </spPr>
          <cat>
            <numRef>
              <f>'3B Intra'!$AP$5:$AX$5</f>
            </numRef>
          </cat>
          <val>
            <numRef>
              <f>'3B Intra'!$AP$29:$AX$29</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Team total scores</a:t>
            </a:r>
          </a:p>
        </rich>
      </tx>
    </title>
    <plotArea>
      <barChart>
        <barDir val="bar"/>
        <grouping val="clustered"/>
        <ser>
          <idx val="0"/>
          <order val="0"/>
          <tx>
            <v>Total</v>
          </tx>
          <spPr>
            <a:ln xmlns:a="http://schemas.openxmlformats.org/drawingml/2006/main">
              <a:prstDash val="solid"/>
            </a:ln>
          </spPr>
          <cat>
            <numRef>
              <f>'3B Intra'!$D$7:$D$26</f>
            </numRef>
          </cat>
          <val>
            <numRef>
              <f>'3B Intra'!$BA$7:$BA$26</f>
            </numRef>
          </val>
        </ser>
        <dLbls>
          <showLegendKey val="0"/>
          <showVal val="1"/>
          <showCatName val="0"/>
          <showSerName val="0"/>
          <showPercent val="0"/>
        </dLbls>
        <gapWidth val="150"/>
        <axId val="10"/>
        <axId val="100"/>
      </barChart>
      <catAx>
        <axId val="10"/>
        <scaling>
          <orientation val="maxMin"/>
        </scaling>
        <delete val="0"/>
        <axPos val="l"/>
        <majorTickMark val="none"/>
        <minorTickMark val="none"/>
        <crossAx val="100"/>
        <lblOffset val="100"/>
      </catAx>
      <valAx>
        <axId val="100"/>
        <scaling>
          <orientation val="minMax"/>
          <max val="100"/>
          <min val="0"/>
        </scaling>
        <delete val="0"/>
        <axPos val="l"/>
        <majorGridlines/>
        <majorTickMark val="none"/>
        <minorTickMark val="none"/>
        <crossAx val="10"/>
      </valAx>
    </plotArea>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PO / PSO attainment</a:t>
            </a:r>
          </a:p>
        </rich>
      </tx>
    </title>
    <plotArea>
      <barChart>
        <barDir val="col"/>
        <grouping val="clustered"/>
        <ser>
          <idx val="0"/>
          <order val="0"/>
          <tx>
            <v>Average attainment</v>
          </tx>
          <spPr>
            <a:ln xmlns:a="http://schemas.openxmlformats.org/drawingml/2006/main">
              <a:prstDash val="solid"/>
            </a:ln>
          </spPr>
          <cat>
            <numRef>
              <f>'3 Inter'!$BE$5:$BQ$5</f>
            </numRef>
          </cat>
          <val>
            <numRef>
              <f>'3 Inter'!$BE$20:$BQ$20</f>
            </numRef>
          </val>
        </ser>
        <ser>
          <idx val="1"/>
          <order val="1"/>
          <tx>
            <v>% teams ≥ target</v>
          </tx>
          <spPr>
            <a:ln xmlns:a="http://schemas.openxmlformats.org/drawingml/2006/main">
              <a:prstDash val="solid"/>
            </a:ln>
          </spPr>
          <cat>
            <numRef>
              <f>'3 Inter'!$BE$5:$BQ$5</f>
            </numRef>
          </cat>
          <val>
            <numRef>
              <f>'3 Inter'!$BE$21:$BQ$21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b"/>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PO / PSO attainment level (0–3)</a:t>
            </a:r>
          </a:p>
        </rich>
      </tx>
    </title>
    <plotArea>
      <barChart>
        <barDir val="col"/>
        <grouping val="clustered"/>
        <ser>
          <idx val="0"/>
          <order val="0"/>
          <tx>
            <v>Level</v>
          </tx>
          <spPr>
            <a:ln xmlns:a="http://schemas.openxmlformats.org/drawingml/2006/main">
              <a:prstDash val="solid"/>
            </a:ln>
          </spPr>
          <cat>
            <numRef>
              <f>'3 Inter'!$BE$5:$BQ$5</f>
            </numRef>
          </cat>
          <val>
            <numRef>
              <f>'3 Inter'!$BE$22:$BQ$22</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SDG goal-wise average contribution strength (0–3)</a:t>
            </a:r>
          </a:p>
        </rich>
      </tx>
    </title>
    <plotArea>
      <barChart>
        <barDir val="bar"/>
        <grouping val="clustered"/>
        <ser>
          <idx val="0"/>
          <order val="0"/>
          <tx>
            <v>Avg strength</v>
          </tx>
          <spPr>
            <a:ln xmlns:a="http://schemas.openxmlformats.org/drawingml/2006/main">
              <a:prstDash val="solid"/>
            </a:ln>
          </spPr>
          <cat>
            <numRef>
              <f>'3 Inter'!$D$31:$D$47</f>
            </numRef>
          </cat>
          <val>
            <numRef>
              <f>'3 Inter'!$G$31:$G$47</f>
            </numRef>
          </val>
        </ser>
        <gapWidth val="150"/>
        <axId val="10"/>
        <axId val="100"/>
      </barChart>
      <catAx>
        <axId val="10"/>
        <scaling>
          <orientation val="maxMin"/>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Criterion-wise average score (% of max)</a:t>
            </a:r>
          </a:p>
        </rich>
      </tx>
    </title>
    <plotArea>
      <barChart>
        <barDir val="col"/>
        <grouping val="clustered"/>
        <ser>
          <idx val="0"/>
          <order val="0"/>
          <tx>
            <v>Avg %</v>
          </tx>
          <spPr>
            <a:ln xmlns:a="http://schemas.openxmlformats.org/drawingml/2006/main">
              <a:prstDash val="solid"/>
            </a:ln>
          </spPr>
          <cat>
            <numRef>
              <f>'3 Inter'!$AP$5:$AX$5</f>
            </numRef>
          </cat>
          <val>
            <numRef>
              <f>'3 Inter'!$AP$19:$AX$19</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Team total scores</a:t>
            </a:r>
          </a:p>
        </rich>
      </tx>
    </title>
    <plotArea>
      <barChart>
        <barDir val="bar"/>
        <grouping val="clustered"/>
        <ser>
          <idx val="0"/>
          <order val="0"/>
          <tx>
            <v>Total</v>
          </tx>
          <spPr>
            <a:ln xmlns:a="http://schemas.openxmlformats.org/drawingml/2006/main">
              <a:prstDash val="solid"/>
            </a:ln>
          </spPr>
          <cat>
            <numRef>
              <f>'3 Inter'!$D$7:$D$16</f>
            </numRef>
          </cat>
          <val>
            <numRef>
              <f>'3 Inter'!$BA$7:$BA$16</f>
            </numRef>
          </val>
        </ser>
        <dLbls>
          <showLegendKey val="0"/>
          <showVal val="1"/>
          <showCatName val="0"/>
          <showSerName val="0"/>
          <showPercent val="0"/>
        </dLbls>
        <gapWidth val="150"/>
        <axId val="10"/>
        <axId val="100"/>
      </barChart>
      <catAx>
        <axId val="10"/>
        <scaling>
          <orientation val="maxMin"/>
        </scaling>
        <delete val="0"/>
        <axPos val="l"/>
        <majorTickMark val="none"/>
        <minorTickMark val="none"/>
        <crossAx val="100"/>
        <lblOffset val="100"/>
      </catAx>
      <valAx>
        <axId val="100"/>
        <scaling>
          <orientation val="minMax"/>
          <max val="100"/>
          <min val="0"/>
        </scaling>
        <delete val="0"/>
        <axPos val="l"/>
        <majorGridlines/>
        <majorTickMark val="none"/>
        <minorTickMark val="none"/>
        <crossAx val="10"/>
      </valAx>
    </plotArea>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PO / PSO attainment</a:t>
            </a:r>
          </a:p>
        </rich>
      </tx>
    </title>
    <plotArea>
      <barChart>
        <barDir val="col"/>
        <grouping val="clustered"/>
        <ser>
          <idx val="0"/>
          <order val="0"/>
          <tx>
            <v>Average attainment</v>
          </tx>
          <spPr>
            <a:ln xmlns:a="http://schemas.openxmlformats.org/drawingml/2006/main">
              <a:prstDash val="solid"/>
            </a:ln>
          </spPr>
          <cat>
            <numRef>
              <f>'5A Intra'!$BE$5:$BQ$5</f>
            </numRef>
          </cat>
          <val>
            <numRef>
              <f>'5A Intra'!$BE$30:$BQ$30</f>
            </numRef>
          </val>
        </ser>
        <ser>
          <idx val="1"/>
          <order val="1"/>
          <tx>
            <v>% teams ≥ target</v>
          </tx>
          <spPr>
            <a:ln xmlns:a="http://schemas.openxmlformats.org/drawingml/2006/main">
              <a:prstDash val="solid"/>
            </a:ln>
          </spPr>
          <cat>
            <numRef>
              <f>'5A Intra'!$BE$5:$BQ$5</f>
            </numRef>
          </cat>
          <val>
            <numRef>
              <f>'5A Intra'!$BE$31:$BQ$31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b"/>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PO / PSO attainment level (0–3)</a:t>
            </a:r>
          </a:p>
        </rich>
      </tx>
    </title>
    <plotArea>
      <barChart>
        <barDir val="col"/>
        <grouping val="clustered"/>
        <ser>
          <idx val="0"/>
          <order val="0"/>
          <tx>
            <v>Level</v>
          </tx>
          <spPr>
            <a:ln xmlns:a="http://schemas.openxmlformats.org/drawingml/2006/main">
              <a:prstDash val="solid"/>
            </a:ln>
          </spPr>
          <cat>
            <numRef>
              <f>'5A Intra'!$BE$5:$BQ$5</f>
            </numRef>
          </cat>
          <val>
            <numRef>
              <f>'5A Intra'!$BE$32:$BQ$32</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SDG goal-wise average contribution strength (0–3)</a:t>
            </a:r>
          </a:p>
        </rich>
      </tx>
    </title>
    <plotArea>
      <barChart>
        <barDir val="bar"/>
        <grouping val="clustered"/>
        <ser>
          <idx val="0"/>
          <order val="0"/>
          <tx>
            <v>Avg strength</v>
          </tx>
          <spPr>
            <a:ln xmlns:a="http://schemas.openxmlformats.org/drawingml/2006/main">
              <a:prstDash val="solid"/>
            </a:ln>
          </spPr>
          <cat>
            <numRef>
              <f>'5A Intra'!$D$41:$D$57</f>
            </numRef>
          </cat>
          <val>
            <numRef>
              <f>'5A Intra'!$G$41:$G$57</f>
            </numRef>
          </val>
        </ser>
        <gapWidth val="150"/>
        <axId val="10"/>
        <axId val="100"/>
      </barChart>
      <catAx>
        <axId val="10"/>
        <scaling>
          <orientation val="maxMin"/>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Criterion-wise average score (% of max)</a:t>
            </a:r>
          </a:p>
        </rich>
      </tx>
    </title>
    <plotArea>
      <barChart>
        <barDir val="col"/>
        <grouping val="clustered"/>
        <ser>
          <idx val="0"/>
          <order val="0"/>
          <tx>
            <v>Avg %</v>
          </tx>
          <spPr>
            <a:ln xmlns:a="http://schemas.openxmlformats.org/drawingml/2006/main">
              <a:prstDash val="solid"/>
            </a:ln>
          </spPr>
          <cat>
            <numRef>
              <f>'5A Intra'!$AP$5:$AX$5</f>
            </numRef>
          </cat>
          <val>
            <numRef>
              <f>'5A Intra'!$AP$29:$AX$29</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Team total scores</a:t>
            </a:r>
          </a:p>
        </rich>
      </tx>
    </title>
    <plotArea>
      <barChart>
        <barDir val="bar"/>
        <grouping val="clustered"/>
        <ser>
          <idx val="0"/>
          <order val="0"/>
          <tx>
            <v>Total</v>
          </tx>
          <spPr>
            <a:ln xmlns:a="http://schemas.openxmlformats.org/drawingml/2006/main">
              <a:prstDash val="solid"/>
            </a:ln>
          </spPr>
          <cat>
            <numRef>
              <f>'5A Intra'!$D$7:$D$26</f>
            </numRef>
          </cat>
          <val>
            <numRef>
              <f>'5A Intra'!$BA$7:$BA$26</f>
            </numRef>
          </val>
        </ser>
        <dLbls>
          <showLegendKey val="0"/>
          <showVal val="1"/>
          <showCatName val="0"/>
          <showSerName val="0"/>
          <showPercent val="0"/>
        </dLbls>
        <gapWidth val="150"/>
        <axId val="10"/>
        <axId val="100"/>
      </barChart>
      <catAx>
        <axId val="10"/>
        <scaling>
          <orientation val="maxMin"/>
        </scaling>
        <delete val="0"/>
        <axPos val="l"/>
        <majorTickMark val="none"/>
        <minorTickMark val="none"/>
        <crossAx val="100"/>
        <lblOffset val="100"/>
      </catAx>
      <valAx>
        <axId val="100"/>
        <scaling>
          <orientation val="minMax"/>
          <max val="100"/>
          <min val="0"/>
        </scaling>
        <delete val="0"/>
        <axPos val="l"/>
        <majorGridlines/>
        <majorTickMark val="none"/>
        <minorTickMark val="none"/>
        <crossAx val="10"/>
      </valAx>
    </plotArea>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PO / PSO attainment</a:t>
            </a:r>
          </a:p>
        </rich>
      </tx>
    </title>
    <plotArea>
      <barChart>
        <barDir val="col"/>
        <grouping val="clustered"/>
        <ser>
          <idx val="0"/>
          <order val="0"/>
          <tx>
            <v>Average attainment</v>
          </tx>
          <spPr>
            <a:ln xmlns:a="http://schemas.openxmlformats.org/drawingml/2006/main">
              <a:prstDash val="solid"/>
            </a:ln>
          </spPr>
          <cat>
            <numRef>
              <f>'5B Intra'!$BE$5:$BQ$5</f>
            </numRef>
          </cat>
          <val>
            <numRef>
              <f>'5B Intra'!$BE$30:$BQ$30</f>
            </numRef>
          </val>
        </ser>
        <ser>
          <idx val="1"/>
          <order val="1"/>
          <tx>
            <v>% teams ≥ target</v>
          </tx>
          <spPr>
            <a:ln xmlns:a="http://schemas.openxmlformats.org/drawingml/2006/main">
              <a:prstDash val="solid"/>
            </a:ln>
          </spPr>
          <cat>
            <numRef>
              <f>'5B Intra'!$BE$5:$BQ$5</f>
            </numRef>
          </cat>
          <val>
            <numRef>
              <f>'5B Intra'!$BE$31:$BQ$31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b"/>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PO / PSO attainment level (0–3)</a:t>
            </a:r>
          </a:p>
        </rich>
      </tx>
    </title>
    <plotArea>
      <barChart>
        <barDir val="col"/>
        <grouping val="clustered"/>
        <ser>
          <idx val="0"/>
          <order val="0"/>
          <tx>
            <v>Level</v>
          </tx>
          <spPr>
            <a:ln xmlns:a="http://schemas.openxmlformats.org/drawingml/2006/main">
              <a:prstDash val="solid"/>
            </a:ln>
          </spPr>
          <cat>
            <numRef>
              <f>'5B Intra'!$BE$5:$BQ$5</f>
            </numRef>
          </cat>
          <val>
            <numRef>
              <f>'5B Intra'!$BE$32:$BQ$32</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SDG goal-wise average contribution strength (0–3)</a:t>
            </a:r>
          </a:p>
        </rich>
      </tx>
    </title>
    <plotArea>
      <barChart>
        <barDir val="bar"/>
        <grouping val="clustered"/>
        <ser>
          <idx val="0"/>
          <order val="0"/>
          <tx>
            <v>Avg strength</v>
          </tx>
          <spPr>
            <a:ln xmlns:a="http://schemas.openxmlformats.org/drawingml/2006/main">
              <a:prstDash val="solid"/>
            </a:ln>
          </spPr>
          <cat>
            <numRef>
              <f>'5B Intra'!$D$41:$D$57</f>
            </numRef>
          </cat>
          <val>
            <numRef>
              <f>'5B Intra'!$G$41:$G$57</f>
            </numRef>
          </val>
        </ser>
        <gapWidth val="150"/>
        <axId val="10"/>
        <axId val="100"/>
      </barChart>
      <catAx>
        <axId val="10"/>
        <scaling>
          <orientation val="maxMin"/>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Criterion-wise average score (% of max)</a:t>
            </a:r>
          </a:p>
        </rich>
      </tx>
    </title>
    <plotArea>
      <barChart>
        <barDir val="col"/>
        <grouping val="clustered"/>
        <ser>
          <idx val="0"/>
          <order val="0"/>
          <tx>
            <v>Avg %</v>
          </tx>
          <spPr>
            <a:ln xmlns:a="http://schemas.openxmlformats.org/drawingml/2006/main">
              <a:prstDash val="solid"/>
            </a:ln>
          </spPr>
          <cat>
            <numRef>
              <f>'5B Intra'!$AP$5:$AX$5</f>
            </numRef>
          </cat>
          <val>
            <numRef>
              <f>'5B Intra'!$AP$29:$AX$29</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Team total scores</a:t>
            </a:r>
          </a:p>
        </rich>
      </tx>
    </title>
    <plotArea>
      <barChart>
        <barDir val="bar"/>
        <grouping val="clustered"/>
        <ser>
          <idx val="0"/>
          <order val="0"/>
          <tx>
            <v>Total</v>
          </tx>
          <spPr>
            <a:ln xmlns:a="http://schemas.openxmlformats.org/drawingml/2006/main">
              <a:prstDash val="solid"/>
            </a:ln>
          </spPr>
          <cat>
            <numRef>
              <f>'5B Intra'!$D$7:$D$26</f>
            </numRef>
          </cat>
          <val>
            <numRef>
              <f>'5B Intra'!$BA$7:$BA$26</f>
            </numRef>
          </val>
        </ser>
        <dLbls>
          <showLegendKey val="0"/>
          <showVal val="1"/>
          <showCatName val="0"/>
          <showSerName val="0"/>
          <showPercent val="0"/>
        </dLbls>
        <gapWidth val="150"/>
        <axId val="10"/>
        <axId val="100"/>
      </barChart>
      <catAx>
        <axId val="10"/>
        <scaling>
          <orientation val="maxMin"/>
        </scaling>
        <delete val="0"/>
        <axPos val="l"/>
        <majorTickMark val="none"/>
        <minorTickMark val="none"/>
        <crossAx val="100"/>
        <lblOffset val="100"/>
      </catAx>
      <valAx>
        <axId val="100"/>
        <scaling>
          <orientation val="minMax"/>
          <max val="100"/>
          <min val="0"/>
        </scaling>
        <delete val="0"/>
        <axPos val="l"/>
        <majorGridlines/>
        <majorTickMark val="none"/>
        <minorTickMark val="none"/>
        <crossAx val="10"/>
      </valAx>
    </plotArea>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PO / PSO attainment</a:t>
            </a:r>
          </a:p>
        </rich>
      </tx>
    </title>
    <plotArea>
      <barChart>
        <barDir val="col"/>
        <grouping val="clustered"/>
        <ser>
          <idx val="0"/>
          <order val="0"/>
          <tx>
            <v>Average attainment</v>
          </tx>
          <spPr>
            <a:ln xmlns:a="http://schemas.openxmlformats.org/drawingml/2006/main">
              <a:prstDash val="solid"/>
            </a:ln>
          </spPr>
          <cat>
            <numRef>
              <f>'5 Inter'!$BE$5:$BQ$5</f>
            </numRef>
          </cat>
          <val>
            <numRef>
              <f>'5 Inter'!$BE$20:$BQ$20</f>
            </numRef>
          </val>
        </ser>
        <ser>
          <idx val="1"/>
          <order val="1"/>
          <tx>
            <v>% teams ≥ target</v>
          </tx>
          <spPr>
            <a:ln xmlns:a="http://schemas.openxmlformats.org/drawingml/2006/main">
              <a:prstDash val="solid"/>
            </a:ln>
          </spPr>
          <cat>
            <numRef>
              <f>'5 Inter'!$BE$5:$BQ$5</f>
            </numRef>
          </cat>
          <val>
            <numRef>
              <f>'5 Inter'!$BE$21:$BQ$21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b"/>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PO / PSO attainment level (0–3)</a:t>
            </a:r>
          </a:p>
        </rich>
      </tx>
    </title>
    <plotArea>
      <barChart>
        <barDir val="col"/>
        <grouping val="clustered"/>
        <ser>
          <idx val="0"/>
          <order val="0"/>
          <tx>
            <v>Level</v>
          </tx>
          <spPr>
            <a:ln xmlns:a="http://schemas.openxmlformats.org/drawingml/2006/main">
              <a:prstDash val="solid"/>
            </a:ln>
          </spPr>
          <cat>
            <numRef>
              <f>'5 Inter'!$BE$5:$BQ$5</f>
            </numRef>
          </cat>
          <val>
            <numRef>
              <f>'5 Inter'!$BE$22:$BQ$22</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SDG goal-wise average contribution strength (0–3)</a:t>
            </a:r>
          </a:p>
        </rich>
      </tx>
    </title>
    <plotArea>
      <barChart>
        <barDir val="bar"/>
        <grouping val="clustered"/>
        <ser>
          <idx val="0"/>
          <order val="0"/>
          <tx>
            <v>Avg strength</v>
          </tx>
          <spPr>
            <a:ln xmlns:a="http://schemas.openxmlformats.org/drawingml/2006/main">
              <a:prstDash val="solid"/>
            </a:ln>
          </spPr>
          <cat>
            <numRef>
              <f>'5 Inter'!$D$31:$D$47</f>
            </numRef>
          </cat>
          <val>
            <numRef>
              <f>'5 Inter'!$G$31:$G$47</f>
            </numRef>
          </val>
        </ser>
        <gapWidth val="150"/>
        <axId val="10"/>
        <axId val="100"/>
      </barChart>
      <catAx>
        <axId val="10"/>
        <scaling>
          <orientation val="maxMin"/>
        </scaling>
        <delete val="0"/>
        <axPos val="l"/>
        <majorTickMark val="none"/>
        <minorTickMark val="none"/>
        <crossAx val="100"/>
        <lblOffset val="100"/>
      </catAx>
      <valAx>
        <axId val="100"/>
        <scaling>
          <orientation val="minMax"/>
          <max val="3"/>
          <min val="0"/>
        </scaling>
        <delete val="0"/>
        <axPos val="l"/>
        <majorGridlines/>
        <majorTickMark val="none"/>
        <minorTickMark val="none"/>
        <crossAx val="10"/>
        <majorUnit val="1"/>
      </valAx>
    </plotArea>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Criterion-wise average score (% of max)</a:t>
            </a:r>
          </a:p>
        </rich>
      </tx>
    </title>
    <plotArea>
      <barChart>
        <barDir val="col"/>
        <grouping val="clustered"/>
        <ser>
          <idx val="0"/>
          <order val="0"/>
          <tx>
            <v>Avg %</v>
          </tx>
          <spPr>
            <a:ln xmlns:a="http://schemas.openxmlformats.org/drawingml/2006/main">
              <a:prstDash val="solid"/>
            </a:ln>
          </spPr>
          <cat>
            <numRef>
              <f>'5 Inter'!$AP$5:$AX$5</f>
            </numRef>
          </cat>
          <val>
            <numRef>
              <f>'5 Inter'!$AP$19:$AX$19</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Team total scores</a:t>
            </a:r>
          </a:p>
        </rich>
      </tx>
    </title>
    <plotArea>
      <barChart>
        <barDir val="bar"/>
        <grouping val="clustered"/>
        <ser>
          <idx val="0"/>
          <order val="0"/>
          <tx>
            <v>Total</v>
          </tx>
          <spPr>
            <a:ln xmlns:a="http://schemas.openxmlformats.org/drawingml/2006/main">
              <a:prstDash val="solid"/>
            </a:ln>
          </spPr>
          <cat>
            <numRef>
              <f>'5 Inter'!$D$7:$D$16</f>
            </numRef>
          </cat>
          <val>
            <numRef>
              <f>'5 Inter'!$BA$7:$BA$16</f>
            </numRef>
          </val>
        </ser>
        <dLbls>
          <showLegendKey val="0"/>
          <showVal val="1"/>
          <showCatName val="0"/>
          <showSerName val="0"/>
          <showPercent val="0"/>
        </dLbls>
        <gapWidth val="150"/>
        <axId val="10"/>
        <axId val="100"/>
      </barChart>
      <catAx>
        <axId val="10"/>
        <scaling>
          <orientation val="maxMin"/>
        </scaling>
        <delete val="0"/>
        <axPos val="l"/>
        <majorTickMark val="none"/>
        <minorTickMark val="none"/>
        <crossAx val="100"/>
        <lblOffset val="100"/>
      </catAx>
      <valAx>
        <axId val="100"/>
        <scaling>
          <orientation val="minMax"/>
          <max val="100"/>
          <min val="0"/>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_rels/drawing2.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 Type="http://schemas.openxmlformats.org/officeDocument/2006/relationships/chart" Target="/xl/charts/chart10.xml" Id="rId3"/><Relationship Type="http://schemas.openxmlformats.org/officeDocument/2006/relationships/chart" Target="/xl/charts/chart11.xml" Id="rId4"/><Relationship Type="http://schemas.openxmlformats.org/officeDocument/2006/relationships/chart" Target="/xl/charts/chart12.xml" Id="rId5"/></Relationships>
</file>

<file path=xl/drawings/_rels/drawing3.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 Type="http://schemas.openxmlformats.org/officeDocument/2006/relationships/chart" Target="/xl/charts/chart15.xml" Id="rId3"/><Relationship Type="http://schemas.openxmlformats.org/officeDocument/2006/relationships/chart" Target="/xl/charts/chart16.xml" Id="rId4"/><Relationship Type="http://schemas.openxmlformats.org/officeDocument/2006/relationships/chart" Target="/xl/charts/chart17.xml" Id="rId5"/></Relationships>
</file>

<file path=xl/drawings/_rels/drawing4.xml.rels><Relationships xmlns="http://schemas.openxmlformats.org/package/2006/relationships"><Relationship Type="http://schemas.openxmlformats.org/officeDocument/2006/relationships/chart" Target="/xl/charts/chart18.xml" Id="rId1"/><Relationship Type="http://schemas.openxmlformats.org/officeDocument/2006/relationships/chart" Target="/xl/charts/chart19.xml" Id="rId2"/><Relationship Type="http://schemas.openxmlformats.org/officeDocument/2006/relationships/chart" Target="/xl/charts/chart20.xml" Id="rId3"/><Relationship Type="http://schemas.openxmlformats.org/officeDocument/2006/relationships/chart" Target="/xl/charts/chart21.xml" Id="rId4"/><Relationship Type="http://schemas.openxmlformats.org/officeDocument/2006/relationships/chart" Target="/xl/charts/chart22.xml" Id="rId5"/></Relationships>
</file>

<file path=xl/drawings/_rels/drawing5.xml.rels><Relationships xmlns="http://schemas.openxmlformats.org/package/2006/relationships"><Relationship Type="http://schemas.openxmlformats.org/officeDocument/2006/relationships/chart" Target="/xl/charts/chart23.xml" Id="rId1"/><Relationship Type="http://schemas.openxmlformats.org/officeDocument/2006/relationships/chart" Target="/xl/charts/chart24.xml" Id="rId2"/><Relationship Type="http://schemas.openxmlformats.org/officeDocument/2006/relationships/chart" Target="/xl/charts/chart25.xml" Id="rId3"/><Relationship Type="http://schemas.openxmlformats.org/officeDocument/2006/relationships/chart" Target="/xl/charts/chart26.xml" Id="rId4"/><Relationship Type="http://schemas.openxmlformats.org/officeDocument/2006/relationships/chart" Target="/xl/charts/chart27.xml" Id="rId5"/></Relationships>
</file>

<file path=xl/drawings/_rels/drawing6.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s>
</file>

<file path=xl/drawings/_rels/drawing7.xml.rels><Relationships xmlns="http://schemas.openxmlformats.org/package/2006/relationships"><Relationship Type="http://schemas.openxmlformats.org/officeDocument/2006/relationships/chart" Target="/xl/charts/chart33.xml" Id="rId1"/><Relationship Type="http://schemas.openxmlformats.org/officeDocument/2006/relationships/chart" Target="/xl/charts/chart34.xml" Id="rId2"/><Relationship Type="http://schemas.openxmlformats.org/officeDocument/2006/relationships/chart" Target="/xl/charts/chart35.xml" Id="rId3"/><Relationship Type="http://schemas.openxmlformats.org/officeDocument/2006/relationships/chart" Target="/xl/charts/chart36.xml" Id="rId4"/><Relationship Type="http://schemas.openxmlformats.org/officeDocument/2006/relationships/chart" Target="/xl/charts/chart37.xml" Id="rId5"/></Relationships>
</file>

<file path=xl/drawings/drawing1.xml><?xml version="1.0" encoding="utf-8"?>
<wsDr xmlns="http://schemas.openxmlformats.org/drawingml/2006/spreadsheetDrawing">
  <oneCellAnchor>
    <from>
      <col>17</col>
      <colOff>0</colOff>
      <row>2</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17</col>
      <colOff>0</colOff>
      <row>22</row>
      <rowOff>0</rowOff>
    </from>
    <ext cx="79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31</col>
      <colOff>0</colOff>
      <row>22</row>
      <rowOff>0</rowOff>
    </from>
    <ext cx="79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31</col>
      <colOff>0</colOff>
      <row>2</row>
      <rowOff>0</rowOff>
    </from>
    <ext cx="792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17</col>
      <colOff>0</colOff>
      <row>42</row>
      <rowOff>0</rowOff>
    </from>
    <ext cx="7920000" cy="36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31</col>
      <colOff>0</colOff>
      <row>42</row>
      <rowOff>0</rowOff>
    </from>
    <ext cx="7920000" cy="46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17</col>
      <colOff>0</colOff>
      <row>63</row>
      <rowOff>0</rowOff>
    </from>
    <ext cx="7920000" cy="46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drawings/drawing2.xml><?xml version="1.0" encoding="utf-8"?>
<wsDr xmlns="http://schemas.openxmlformats.org/drawingml/2006/spreadsheetDrawing">
  <oneCellAnchor>
    <from>
      <col>8</col>
      <colOff>0</colOff>
      <row>38</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38</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57</row>
      <rowOff>0</rowOff>
    </from>
    <ext cx="72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22</col>
      <colOff>0</colOff>
      <row>57</row>
      <rowOff>0</rowOff>
    </from>
    <ext cx="720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80</row>
      <rowOff>0</rowOff>
    </from>
    <ext cx="720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3.xml><?xml version="1.0" encoding="utf-8"?>
<wsDr xmlns="http://schemas.openxmlformats.org/drawingml/2006/spreadsheetDrawing">
  <oneCellAnchor>
    <from>
      <col>8</col>
      <colOff>0</colOff>
      <row>38</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38</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57</row>
      <rowOff>0</rowOff>
    </from>
    <ext cx="72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22</col>
      <colOff>0</colOff>
      <row>57</row>
      <rowOff>0</rowOff>
    </from>
    <ext cx="720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80</row>
      <rowOff>0</rowOff>
    </from>
    <ext cx="720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4.xml><?xml version="1.0" encoding="utf-8"?>
<wsDr xmlns="http://schemas.openxmlformats.org/drawingml/2006/spreadsheetDrawing">
  <oneCellAnchor>
    <from>
      <col>8</col>
      <colOff>0</colOff>
      <row>28</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28</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47</row>
      <rowOff>0</rowOff>
    </from>
    <ext cx="72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22</col>
      <colOff>0</colOff>
      <row>47</row>
      <rowOff>0</rowOff>
    </from>
    <ext cx="720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70</row>
      <rowOff>0</rowOff>
    </from>
    <ext cx="720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5.xml><?xml version="1.0" encoding="utf-8"?>
<wsDr xmlns="http://schemas.openxmlformats.org/drawingml/2006/spreadsheetDrawing">
  <oneCellAnchor>
    <from>
      <col>8</col>
      <colOff>0</colOff>
      <row>38</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38</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57</row>
      <rowOff>0</rowOff>
    </from>
    <ext cx="72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22</col>
      <colOff>0</colOff>
      <row>57</row>
      <rowOff>0</rowOff>
    </from>
    <ext cx="720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80</row>
      <rowOff>0</rowOff>
    </from>
    <ext cx="720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6.xml><?xml version="1.0" encoding="utf-8"?>
<wsDr xmlns="http://schemas.openxmlformats.org/drawingml/2006/spreadsheetDrawing">
  <oneCellAnchor>
    <from>
      <col>8</col>
      <colOff>0</colOff>
      <row>38</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38</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57</row>
      <rowOff>0</rowOff>
    </from>
    <ext cx="72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22</col>
      <colOff>0</colOff>
      <row>57</row>
      <rowOff>0</rowOff>
    </from>
    <ext cx="720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80</row>
      <rowOff>0</rowOff>
    </from>
    <ext cx="720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7.xml><?xml version="1.0" encoding="utf-8"?>
<wsDr xmlns="http://schemas.openxmlformats.org/drawingml/2006/spreadsheetDrawing">
  <oneCellAnchor>
    <from>
      <col>8</col>
      <colOff>0</colOff>
      <row>28</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22</col>
      <colOff>0</colOff>
      <row>28</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47</row>
      <rowOff>0</rowOff>
    </from>
    <ext cx="720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22</col>
      <colOff>0</colOff>
      <row>47</row>
      <rowOff>0</rowOff>
    </from>
    <ext cx="7200000" cy="39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70</row>
      <rowOff>0</rowOff>
    </from>
    <ext cx="720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tabColor rgb="00FFC000"/>
    <outlinePr summaryBelow="1" summaryRight="1"/>
    <pageSetUpPr/>
  </sheetPr>
  <dimension ref="A1:J28"/>
  <sheetViews>
    <sheetView workbookViewId="0">
      <selection activeCell="A1" sqref="A1"/>
    </sheetView>
  </sheetViews>
  <sheetFormatPr baseColWidth="8" defaultRowHeight="15"/>
  <cols>
    <col width="16" customWidth="1" min="1" max="1"/>
    <col width="14" customWidth="1" min="2" max="2"/>
    <col width="14" customWidth="1" min="3" max="3"/>
    <col width="30" customWidth="1" min="4" max="4"/>
    <col width="24" customWidth="1" min="5" max="5"/>
    <col width="26" customWidth="1" min="6" max="6"/>
    <col width="12" customWidth="1" min="7" max="7"/>
    <col width="12" customWidth="1" min="8" max="8"/>
    <col width="12" customWidth="1" min="9" max="9"/>
    <col width="12" customWidth="1" min="10" max="10"/>
  </cols>
  <sheetData>
    <row r="1">
      <c r="A1" s="1">
        <f>Mapping!$C$3&amp;" — Evaluation Workbook: How to use"</f>
        <v/>
      </c>
    </row>
    <row r="3">
      <c r="A3" s="2" t="inlineStr">
        <is>
          <t>Hackathon structure</t>
        </is>
      </c>
    </row>
    <row r="4" ht="32" customHeight="1">
      <c r="A4" s="3" t="inlineStr">
        <is>
          <t>Round 1</t>
        </is>
      </c>
      <c r="B4" s="4" t="n"/>
      <c r="C4" s="5" t="inlineStr">
        <is>
          <t>3rd Sem Section A and Section B intra-class hackathons → top 5 teams from each section shortlisted (sheets '3A Intra', '3B Intra').</t>
        </is>
      </c>
    </row>
    <row r="5" ht="32" customHeight="1">
      <c r="A5" s="3" t="inlineStr">
        <is>
          <t>Round 1</t>
        </is>
      </c>
      <c r="B5" s="4" t="n"/>
      <c r="C5" s="5" t="inlineStr">
        <is>
          <t>5th Sem Section A and Section B intra-class hackathons → top 5 teams from each section shortlisted (sheets '5A Intra', '5B Intra').</t>
        </is>
      </c>
    </row>
    <row r="6" ht="32" customHeight="1">
      <c r="A6" s="3" t="inlineStr">
        <is>
          <t>Round 2</t>
        </is>
      </c>
      <c r="B6" s="4" t="n"/>
      <c r="C6" s="5" t="inlineStr">
        <is>
          <t>3rd Sem inter-section hackathon: the 10 shortlisted teams are pulled in automatically → top 5 shortlisted (sheet '3 Inter').</t>
        </is>
      </c>
    </row>
    <row r="7" ht="32" customHeight="1">
      <c r="A7" s="3" t="inlineStr">
        <is>
          <t>Round 2</t>
        </is>
      </c>
      <c r="B7" s="4" t="n"/>
      <c r="C7" s="5" t="inlineStr">
        <is>
          <t>5th Sem inter-section hackathon: the 10 shortlisted teams are pulled in automatically → top 5 shortlisted (sheet '5 Inter').</t>
        </is>
      </c>
    </row>
    <row r="8">
      <c r="A8" s="2" t="inlineStr">
        <is>
          <t>Who enters what</t>
        </is>
      </c>
    </row>
    <row r="9" ht="32" customHeight="1">
      <c r="A9" s="3" t="inlineStr">
        <is>
          <t>Coordinator (once)</t>
        </is>
      </c>
      <c r="B9" s="4" t="n"/>
      <c r="C9" s="5" t="inlineStr">
        <is>
          <t>'Mapping' sheet: title, department, PO/PSO target %, attainment thresholds, SDG target strength, and (optionally) the rubric → PO/PSO correlation matrix. 'Rubric' sheet: criteria, max marks, descriptors.</t>
        </is>
      </c>
    </row>
    <row r="10" ht="32" customHeight="1">
      <c r="A10" s="3" t="inlineStr">
        <is>
          <t>Coordinator (per event)</t>
        </is>
      </c>
      <c r="B10" s="4" t="n"/>
      <c r="C10" s="5" t="inlineStr">
        <is>
          <t>In each event sheet: date, venue, evaluator names, and team details (Team ID, name, members, Primary SDG and optional Secondary SDG from the dropdown, problem statement). Intra sheets hold up to 20 teams.</t>
        </is>
      </c>
    </row>
    <row r="11" ht="46" customHeight="1">
      <c r="A11" s="3" t="inlineStr">
        <is>
          <t>Evaluators</t>
        </is>
      </c>
      <c r="B11" s="4" t="n"/>
      <c r="C11" s="5" t="inlineStr">
        <is>
          <t>In your own coloured block: the 9 rubric marks (0 to each criterion's maximum in row 6), then the contribution strength (0–3) for the team's Primary SDG and, if the team has one, its Secondary SDG. The secondary cell turns grey when there is no secondary SDG. Leave a block blank if fewer than 3 evaluators are judging.</t>
        </is>
      </c>
    </row>
    <row r="12" ht="32" customHeight="1">
      <c r="A12" s="3" t="inlineStr">
        <is>
          <t>Everything else is automatic</t>
        </is>
      </c>
      <c r="B12" s="4" t="n"/>
      <c r="C12" s="5" t="inlineStr">
        <is>
          <t>Averages across evaluators, total, %, rank, shortlist status, per-team PO/PSO attainment, event attainment levels, SDG strength and goal-wise attainment, the Dashboard and all charts.</t>
        </is>
      </c>
    </row>
    <row r="13">
      <c r="A13" s="2" t="inlineStr">
        <is>
          <t>Colour legend</t>
        </is>
      </c>
    </row>
    <row r="14" ht="18" customHeight="1">
      <c r="A14" s="3" t="inlineStr">
        <is>
          <t>Yellow cell, blue text</t>
        </is>
      </c>
      <c r="B14" s="4" t="n"/>
      <c r="C14" s="6" t="inlineStr">
        <is>
          <t>Input cell — type here.</t>
        </is>
      </c>
    </row>
    <row r="15" ht="32" customHeight="1">
      <c r="A15" s="3" t="inlineStr">
        <is>
          <t>Grey / lavender / green cells</t>
        </is>
      </c>
      <c r="B15" s="4" t="n"/>
      <c r="C15" s="5" t="inlineStr">
        <is>
          <t>Calculated — do not edit (event sheets and Dashboard are protected without a password; Review ▸ Unprotect Sheet if you need to change the layout).</t>
        </is>
      </c>
    </row>
    <row r="16">
      <c r="A16" s="2" t="inlineStr">
        <is>
          <t>PO / PSO attainment</t>
        </is>
      </c>
    </row>
    <row r="17" ht="18" customHeight="1">
      <c r="A17" s="3" t="inlineStr">
        <is>
          <t>Criterion %</t>
        </is>
      </c>
      <c r="B17" s="4" t="n"/>
      <c r="C17" s="5" t="inlineStr">
        <is>
          <t>Average of the evaluators' marks for a criterion ÷ its maximum marks.</t>
        </is>
      </c>
    </row>
    <row r="18" ht="18" customHeight="1">
      <c r="A18" s="3" t="inlineStr">
        <is>
          <t>Team outcome attainment</t>
        </is>
      </c>
      <c r="B18" s="4" t="n"/>
      <c r="C18" s="5" t="inlineStr">
        <is>
          <t>For each PO/PSO: Σ(criterion % × correlation) ÷ Σ correlation, using the 3/2/1 matrix on the 'Mapping' sheet.</t>
        </is>
      </c>
    </row>
    <row r="19" ht="32" customHeight="1">
      <c r="A19" s="3" t="inlineStr">
        <is>
          <t>Event attainment level</t>
        </is>
      </c>
      <c r="B19" s="4" t="n"/>
      <c r="C19" s="5" t="inlineStr">
        <is>
          <t>% of teams whose outcome attainment ≥ target (default 60%). Level 3 if ≥70% of teams, Level 2 if ≥60%, Level 1 if ≥50%, else 0 (all editable on 'Mapping').</t>
        </is>
      </c>
    </row>
    <row r="20">
      <c r="A20" s="2" t="inlineStr">
        <is>
          <t>SDG attainment</t>
        </is>
      </c>
    </row>
    <row r="21" ht="46" customHeight="1">
      <c r="A21" s="3" t="inlineStr">
        <is>
          <t>Contribution strength</t>
        </is>
      </c>
      <c r="B21" s="4" t="n"/>
      <c r="C21" s="5" t="inlineStr">
        <is>
          <t>Each evaluator rates how strongly the solution advances each SDG the team claims: 3 High (advances a named target with a measurable indicator), 2 Medium (clearly supports the goal), 1 Low (indirect), 0 None (claimed only). Scale and descriptors are on the 'Rubric' sheet. Not part of the 100 marks.</t>
        </is>
      </c>
    </row>
    <row r="22" ht="18" customHeight="1">
      <c r="A22" s="3" t="inlineStr">
        <is>
          <t>Solution strength</t>
        </is>
      </c>
      <c r="B22" s="4" t="n"/>
      <c r="C22" s="5" t="inlineStr">
        <is>
          <t>Average of the evaluators' ratings for that team and SDG (0–3).</t>
        </is>
      </c>
    </row>
    <row r="23" ht="32" customHeight="1">
      <c r="A23" s="3" t="inlineStr">
        <is>
          <t>Goal-wise attainment</t>
        </is>
      </c>
      <c r="B23" s="4" t="n"/>
      <c r="C23" s="5" t="inlineStr">
        <is>
          <t>For each of the 17 SDGs: average strength of all solutions addressing it (primary or secondary), plus the % of rated solutions at or above the target strength (default 2, Medium).</t>
        </is>
      </c>
    </row>
    <row r="24" ht="32" customHeight="1">
      <c r="A24" s="3" t="inlineStr">
        <is>
          <t>Event SDG attainment</t>
        </is>
      </c>
      <c r="B24" s="4" t="n"/>
      <c r="C24" s="5" t="inlineStr">
        <is>
          <t>Average strength over every rated team–SDG pair in the event; the Dashboard pools all events weighted by the number of rated pairs.</t>
        </is>
      </c>
    </row>
    <row r="25" ht="46" customHeight="1">
      <c r="A25" s="3" t="inlineStr">
        <is>
          <t>Ranking &amp; ties</t>
        </is>
      </c>
      <c r="B25" s="4" t="n"/>
      <c r="C25" s="5" t="inlineStr">
        <is>
          <t>Rank is by total rubric score only; SDG ratings do not change it. Ties are broken by the Technical Implementation (C4) score, then by row order. Inter-section sheets pull rank 1–5 of each section; you can overtype a team cell there if a team is replaced.</t>
        </is>
      </c>
    </row>
    <row r="26">
      <c r="A26" s="2" t="inlineStr">
        <is>
          <t>Example row (format only)</t>
        </is>
      </c>
    </row>
    <row r="27" ht="32" customHeight="1">
      <c r="A27" s="7" t="inlineStr">
        <is>
          <t>Section</t>
        </is>
      </c>
      <c r="B27" s="7" t="inlineStr">
        <is>
          <t>Team ID</t>
        </is>
      </c>
      <c r="C27" s="7" t="inlineStr">
        <is>
          <t>Team Name</t>
        </is>
      </c>
      <c r="D27" s="7" t="inlineStr">
        <is>
          <t>Primary SDG</t>
        </is>
      </c>
      <c r="E27" s="7" t="inlineStr">
        <is>
          <t>Evaluator 1: C1…C9</t>
        </is>
      </c>
      <c r="F27" s="7" t="inlineStr">
        <is>
          <t>Evaluator 1: SDG strength (primary, secondary)</t>
        </is>
      </c>
    </row>
    <row r="28" ht="30" customHeight="1">
      <c r="A28" s="5" t="inlineStr">
        <is>
          <t>3rd Sem - A</t>
        </is>
      </c>
      <c r="B28" s="5" t="inlineStr">
        <is>
          <t>3A-07</t>
        </is>
      </c>
      <c r="C28" s="5" t="inlineStr">
        <is>
          <t>AquaSense</t>
        </is>
      </c>
      <c r="D28" s="5" t="inlineStr">
        <is>
          <t>SDG 6 - Clean Water and Sanitation</t>
        </is>
      </c>
      <c r="E28" s="5" t="inlineStr">
        <is>
          <t>8, 7, 12, 16, 8, 7, 7, 4, 8</t>
        </is>
      </c>
      <c r="F28" s="5" t="inlineStr">
        <is>
          <t>3, (blank)</t>
        </is>
      </c>
    </row>
  </sheetData>
  <mergeCells count="43">
    <mergeCell ref="A24:B24"/>
    <mergeCell ref="A8:J8"/>
    <mergeCell ref="A15:B15"/>
    <mergeCell ref="C15:J15"/>
    <mergeCell ref="A11:B11"/>
    <mergeCell ref="C6:J6"/>
    <mergeCell ref="C24:J24"/>
    <mergeCell ref="C14:J14"/>
    <mergeCell ref="A20:J20"/>
    <mergeCell ref="C5:J5"/>
    <mergeCell ref="A6:B6"/>
    <mergeCell ref="A13:J13"/>
    <mergeCell ref="C4:J4"/>
    <mergeCell ref="A7:B7"/>
    <mergeCell ref="A25:B25"/>
    <mergeCell ref="C25:J25"/>
    <mergeCell ref="C10:J10"/>
    <mergeCell ref="C22:J22"/>
    <mergeCell ref="A18:B18"/>
    <mergeCell ref="A12:B12"/>
    <mergeCell ref="C9:J9"/>
    <mergeCell ref="A1:J1"/>
    <mergeCell ref="C12:J12"/>
    <mergeCell ref="A21:B21"/>
    <mergeCell ref="C21:J21"/>
    <mergeCell ref="C11:J11"/>
    <mergeCell ref="A5:B5"/>
    <mergeCell ref="A14:B14"/>
    <mergeCell ref="A16:J16"/>
    <mergeCell ref="A17:B17"/>
    <mergeCell ref="A23:B23"/>
    <mergeCell ref="C23:J23"/>
    <mergeCell ref="A22:B22"/>
    <mergeCell ref="A4:B4"/>
    <mergeCell ref="C17:J17"/>
    <mergeCell ref="C7:J7"/>
    <mergeCell ref="A19:B19"/>
    <mergeCell ref="A3:J3"/>
    <mergeCell ref="A10:B10"/>
    <mergeCell ref="A26:J26"/>
    <mergeCell ref="C19:J19"/>
    <mergeCell ref="A9:B9"/>
    <mergeCell ref="C18:J18"/>
  </mergeCells>
  <pageMargins left="0.75" right="0.75" top="1" bottom="1" header="0.5" footer="0.5"/>
</worksheet>
</file>

<file path=xl/worksheets/sheet2.xml><?xml version="1.0" encoding="utf-8"?>
<worksheet xmlns="http://schemas.openxmlformats.org/spreadsheetml/2006/main">
  <sheetPr>
    <tabColor rgb="0000B050"/>
    <outlinePr summaryBelow="1" summaryRight="1"/>
    <pageSetUpPr/>
  </sheetPr>
  <dimension ref="A1:O7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f>Mapping!$C$3&amp;" — Attainment Dashboard (PO / PSO / SDG)"</f>
        <v/>
      </c>
    </row>
    <row r="2">
      <c r="A2" s="8">
        <f>Mapping!$C$4&amp;" | Dept. of "&amp;Mapping!$C$5&amp;" | AY "&amp;Mapping!$C$6&amp;" | PO/PSO target per team: "&amp;TEXT(Mapping!$C$7,"0%")&amp;" | SDG reached at strength ≥ "&amp;Mapping!$C$12</f>
        <v/>
      </c>
    </row>
    <row r="4">
      <c r="A4" s="9" t="inlineStr">
        <is>
          <t>Table 1 — PO / PSO average attainment (%) by event</t>
        </is>
      </c>
    </row>
    <row r="5">
      <c r="A5" s="7" t="inlineStr">
        <is>
          <t>Event</t>
        </is>
      </c>
      <c r="B5" s="7" t="inlineStr">
        <is>
          <t>Teams evaluated</t>
        </is>
      </c>
      <c r="C5" s="10" t="inlineStr">
        <is>
          <t>PO1</t>
        </is>
      </c>
      <c r="D5" s="10" t="inlineStr">
        <is>
          <t>PO2</t>
        </is>
      </c>
      <c r="E5" s="10" t="inlineStr">
        <is>
          <t>PO3</t>
        </is>
      </c>
      <c r="F5" s="10" t="inlineStr">
        <is>
          <t>PO4</t>
        </is>
      </c>
      <c r="G5" s="10" t="inlineStr">
        <is>
          <t>PO5</t>
        </is>
      </c>
      <c r="H5" s="10" t="inlineStr">
        <is>
          <t>PO6</t>
        </is>
      </c>
      <c r="I5" s="10" t="inlineStr">
        <is>
          <t>PO7</t>
        </is>
      </c>
      <c r="J5" s="10" t="inlineStr">
        <is>
          <t>PO8</t>
        </is>
      </c>
      <c r="K5" s="10" t="inlineStr">
        <is>
          <t>PO9</t>
        </is>
      </c>
      <c r="L5" s="10" t="inlineStr">
        <is>
          <t>PO10</t>
        </is>
      </c>
      <c r="M5" s="10" t="inlineStr">
        <is>
          <t>PO11</t>
        </is>
      </c>
      <c r="N5" s="10" t="inlineStr">
        <is>
          <t>PSO1</t>
        </is>
      </c>
      <c r="O5" s="10" t="inlineStr">
        <is>
          <t>PSO2</t>
        </is>
      </c>
    </row>
    <row r="6">
      <c r="A6" s="5" t="inlineStr">
        <is>
          <t>3rd Sem A — Intra</t>
        </is>
      </c>
      <c r="B6" s="11">
        <f>'3A Intra'!E33</f>
        <v/>
      </c>
      <c r="C6" s="12">
        <f>'3A Intra'!BE30</f>
        <v/>
      </c>
      <c r="D6" s="12">
        <f>'3A Intra'!BF30</f>
        <v/>
      </c>
      <c r="E6" s="12">
        <f>'3A Intra'!BG30</f>
        <v/>
      </c>
      <c r="F6" s="12">
        <f>'3A Intra'!BH30</f>
        <v/>
      </c>
      <c r="G6" s="12">
        <f>'3A Intra'!BI30</f>
        <v/>
      </c>
      <c r="H6" s="12">
        <f>'3A Intra'!BJ30</f>
        <v/>
      </c>
      <c r="I6" s="12">
        <f>'3A Intra'!BK30</f>
        <v/>
      </c>
      <c r="J6" s="12">
        <f>'3A Intra'!BL30</f>
        <v/>
      </c>
      <c r="K6" s="12">
        <f>'3A Intra'!BM30</f>
        <v/>
      </c>
      <c r="L6" s="12">
        <f>'3A Intra'!BN30</f>
        <v/>
      </c>
      <c r="M6" s="12">
        <f>'3A Intra'!BO30</f>
        <v/>
      </c>
      <c r="N6" s="12">
        <f>'3A Intra'!BP30</f>
        <v/>
      </c>
      <c r="O6" s="12">
        <f>'3A Intra'!BQ30</f>
        <v/>
      </c>
    </row>
    <row r="7">
      <c r="A7" s="5" t="inlineStr">
        <is>
          <t>3rd Sem B — Intra</t>
        </is>
      </c>
      <c r="B7" s="11">
        <f>'3B Intra'!E33</f>
        <v/>
      </c>
      <c r="C7" s="12">
        <f>'3B Intra'!BE30</f>
        <v/>
      </c>
      <c r="D7" s="12">
        <f>'3B Intra'!BF30</f>
        <v/>
      </c>
      <c r="E7" s="12">
        <f>'3B Intra'!BG30</f>
        <v/>
      </c>
      <c r="F7" s="12">
        <f>'3B Intra'!BH30</f>
        <v/>
      </c>
      <c r="G7" s="12">
        <f>'3B Intra'!BI30</f>
        <v/>
      </c>
      <c r="H7" s="12">
        <f>'3B Intra'!BJ30</f>
        <v/>
      </c>
      <c r="I7" s="12">
        <f>'3B Intra'!BK30</f>
        <v/>
      </c>
      <c r="J7" s="12">
        <f>'3B Intra'!BL30</f>
        <v/>
      </c>
      <c r="K7" s="12">
        <f>'3B Intra'!BM30</f>
        <v/>
      </c>
      <c r="L7" s="12">
        <f>'3B Intra'!BN30</f>
        <v/>
      </c>
      <c r="M7" s="12">
        <f>'3B Intra'!BO30</f>
        <v/>
      </c>
      <c r="N7" s="12">
        <f>'3B Intra'!BP30</f>
        <v/>
      </c>
      <c r="O7" s="12">
        <f>'3B Intra'!BQ30</f>
        <v/>
      </c>
    </row>
    <row r="8">
      <c r="A8" s="5" t="inlineStr">
        <is>
          <t>3rd Sem — Inter-Section</t>
        </is>
      </c>
      <c r="B8" s="11">
        <f>'3 Inter'!E23</f>
        <v/>
      </c>
      <c r="C8" s="12">
        <f>'3 Inter'!BE20</f>
        <v/>
      </c>
      <c r="D8" s="12">
        <f>'3 Inter'!BF20</f>
        <v/>
      </c>
      <c r="E8" s="12">
        <f>'3 Inter'!BG20</f>
        <v/>
      </c>
      <c r="F8" s="12">
        <f>'3 Inter'!BH20</f>
        <v/>
      </c>
      <c r="G8" s="12">
        <f>'3 Inter'!BI20</f>
        <v/>
      </c>
      <c r="H8" s="12">
        <f>'3 Inter'!BJ20</f>
        <v/>
      </c>
      <c r="I8" s="12">
        <f>'3 Inter'!BK20</f>
        <v/>
      </c>
      <c r="J8" s="12">
        <f>'3 Inter'!BL20</f>
        <v/>
      </c>
      <c r="K8" s="12">
        <f>'3 Inter'!BM20</f>
        <v/>
      </c>
      <c r="L8" s="12">
        <f>'3 Inter'!BN20</f>
        <v/>
      </c>
      <c r="M8" s="12">
        <f>'3 Inter'!BO20</f>
        <v/>
      </c>
      <c r="N8" s="12">
        <f>'3 Inter'!BP20</f>
        <v/>
      </c>
      <c r="O8" s="12">
        <f>'3 Inter'!BQ20</f>
        <v/>
      </c>
    </row>
    <row r="9">
      <c r="A9" s="5" t="inlineStr">
        <is>
          <t>5th Sem A — Intra</t>
        </is>
      </c>
      <c r="B9" s="11">
        <f>'5A Intra'!E33</f>
        <v/>
      </c>
      <c r="C9" s="12">
        <f>'5A Intra'!BE30</f>
        <v/>
      </c>
      <c r="D9" s="12">
        <f>'5A Intra'!BF30</f>
        <v/>
      </c>
      <c r="E9" s="12">
        <f>'5A Intra'!BG30</f>
        <v/>
      </c>
      <c r="F9" s="12">
        <f>'5A Intra'!BH30</f>
        <v/>
      </c>
      <c r="G9" s="12">
        <f>'5A Intra'!BI30</f>
        <v/>
      </c>
      <c r="H9" s="12">
        <f>'5A Intra'!BJ30</f>
        <v/>
      </c>
      <c r="I9" s="12">
        <f>'5A Intra'!BK30</f>
        <v/>
      </c>
      <c r="J9" s="12">
        <f>'5A Intra'!BL30</f>
        <v/>
      </c>
      <c r="K9" s="12">
        <f>'5A Intra'!BM30</f>
        <v/>
      </c>
      <c r="L9" s="12">
        <f>'5A Intra'!BN30</f>
        <v/>
      </c>
      <c r="M9" s="12">
        <f>'5A Intra'!BO30</f>
        <v/>
      </c>
      <c r="N9" s="12">
        <f>'5A Intra'!BP30</f>
        <v/>
      </c>
      <c r="O9" s="12">
        <f>'5A Intra'!BQ30</f>
        <v/>
      </c>
    </row>
    <row r="10">
      <c r="A10" s="5" t="inlineStr">
        <is>
          <t>5th Sem B — Intra</t>
        </is>
      </c>
      <c r="B10" s="11">
        <f>'5B Intra'!E33</f>
        <v/>
      </c>
      <c r="C10" s="12">
        <f>'5B Intra'!BE30</f>
        <v/>
      </c>
      <c r="D10" s="12">
        <f>'5B Intra'!BF30</f>
        <v/>
      </c>
      <c r="E10" s="12">
        <f>'5B Intra'!BG30</f>
        <v/>
      </c>
      <c r="F10" s="12">
        <f>'5B Intra'!BH30</f>
        <v/>
      </c>
      <c r="G10" s="12">
        <f>'5B Intra'!BI30</f>
        <v/>
      </c>
      <c r="H10" s="12">
        <f>'5B Intra'!BJ30</f>
        <v/>
      </c>
      <c r="I10" s="12">
        <f>'5B Intra'!BK30</f>
        <v/>
      </c>
      <c r="J10" s="12">
        <f>'5B Intra'!BL30</f>
        <v/>
      </c>
      <c r="K10" s="12">
        <f>'5B Intra'!BM30</f>
        <v/>
      </c>
      <c r="L10" s="12">
        <f>'5B Intra'!BN30</f>
        <v/>
      </c>
      <c r="M10" s="12">
        <f>'5B Intra'!BO30</f>
        <v/>
      </c>
      <c r="N10" s="12">
        <f>'5B Intra'!BP30</f>
        <v/>
      </c>
      <c r="O10" s="12">
        <f>'5B Intra'!BQ30</f>
        <v/>
      </c>
    </row>
    <row r="11">
      <c r="A11" s="5" t="inlineStr">
        <is>
          <t>5th Sem — Inter-Section</t>
        </is>
      </c>
      <c r="B11" s="11">
        <f>'5 Inter'!E23</f>
        <v/>
      </c>
      <c r="C11" s="12">
        <f>'5 Inter'!BE20</f>
        <v/>
      </c>
      <c r="D11" s="12">
        <f>'5 Inter'!BF20</f>
        <v/>
      </c>
      <c r="E11" s="12">
        <f>'5 Inter'!BG20</f>
        <v/>
      </c>
      <c r="F11" s="12">
        <f>'5 Inter'!BH20</f>
        <v/>
      </c>
      <c r="G11" s="12">
        <f>'5 Inter'!BI20</f>
        <v/>
      </c>
      <c r="H11" s="12">
        <f>'5 Inter'!BJ20</f>
        <v/>
      </c>
      <c r="I11" s="12">
        <f>'5 Inter'!BK20</f>
        <v/>
      </c>
      <c r="J11" s="12">
        <f>'5 Inter'!BL20</f>
        <v/>
      </c>
      <c r="K11" s="12">
        <f>'5 Inter'!BM20</f>
        <v/>
      </c>
      <c r="L11" s="12">
        <f>'5 Inter'!BN20</f>
        <v/>
      </c>
      <c r="M11" s="12">
        <f>'5 Inter'!BO20</f>
        <v/>
      </c>
      <c r="N11" s="12">
        <f>'5 Inter'!BP20</f>
        <v/>
      </c>
      <c r="O11" s="12">
        <f>'5 Inter'!BQ20</f>
        <v/>
      </c>
    </row>
    <row r="12">
      <c r="A12" s="13" t="inlineStr">
        <is>
          <t>Overall (weighted by teams)</t>
        </is>
      </c>
      <c r="B12" s="14">
        <f>SUM(B6:B11)</f>
        <v/>
      </c>
      <c r="C12" s="15">
        <f>IFERROR(SUMPRODUCT(C6:C11,$B$6:$B$11)/SUMPRODUCT(--ISNUMBER(C6:C11),$B$6:$B$11),"")</f>
        <v/>
      </c>
      <c r="D12" s="15">
        <f>IFERROR(SUMPRODUCT(D6:D11,$B$6:$B$11)/SUMPRODUCT(--ISNUMBER(D6:D11),$B$6:$B$11),"")</f>
        <v/>
      </c>
      <c r="E12" s="15">
        <f>IFERROR(SUMPRODUCT(E6:E11,$B$6:$B$11)/SUMPRODUCT(--ISNUMBER(E6:E11),$B$6:$B$11),"")</f>
        <v/>
      </c>
      <c r="F12" s="15">
        <f>IFERROR(SUMPRODUCT(F6:F11,$B$6:$B$11)/SUMPRODUCT(--ISNUMBER(F6:F11),$B$6:$B$11),"")</f>
        <v/>
      </c>
      <c r="G12" s="15">
        <f>IFERROR(SUMPRODUCT(G6:G11,$B$6:$B$11)/SUMPRODUCT(--ISNUMBER(G6:G11),$B$6:$B$11),"")</f>
        <v/>
      </c>
      <c r="H12" s="15">
        <f>IFERROR(SUMPRODUCT(H6:H11,$B$6:$B$11)/SUMPRODUCT(--ISNUMBER(H6:H11),$B$6:$B$11),"")</f>
        <v/>
      </c>
      <c r="I12" s="15">
        <f>IFERROR(SUMPRODUCT(I6:I11,$B$6:$B$11)/SUMPRODUCT(--ISNUMBER(I6:I11),$B$6:$B$11),"")</f>
        <v/>
      </c>
      <c r="J12" s="15">
        <f>IFERROR(SUMPRODUCT(J6:J11,$B$6:$B$11)/SUMPRODUCT(--ISNUMBER(J6:J11),$B$6:$B$11),"")</f>
        <v/>
      </c>
      <c r="K12" s="15">
        <f>IFERROR(SUMPRODUCT(K6:K11,$B$6:$B$11)/SUMPRODUCT(--ISNUMBER(K6:K11),$B$6:$B$11),"")</f>
        <v/>
      </c>
      <c r="L12" s="15">
        <f>IFERROR(SUMPRODUCT(L6:L11,$B$6:$B$11)/SUMPRODUCT(--ISNUMBER(L6:L11),$B$6:$B$11),"")</f>
        <v/>
      </c>
      <c r="M12" s="15">
        <f>IFERROR(SUMPRODUCT(M6:M11,$B$6:$B$11)/SUMPRODUCT(--ISNUMBER(M6:M11),$B$6:$B$11),"")</f>
        <v/>
      </c>
      <c r="N12" s="15">
        <f>IFERROR(SUMPRODUCT(N6:N11,$B$6:$B$11)/SUMPRODUCT(--ISNUMBER(N6:N11),$B$6:$B$11),"")</f>
        <v/>
      </c>
      <c r="O12" s="15">
        <f>IFERROR(SUMPRODUCT(O6:O11,$B$6:$B$11)/SUMPRODUCT(--ISNUMBER(O6:O11),$B$6:$B$11),"")</f>
        <v/>
      </c>
    </row>
    <row r="14">
      <c r="A14" s="9" t="inlineStr">
        <is>
          <t>Table 2 — PO / PSO: % of teams at/above target by event</t>
        </is>
      </c>
    </row>
    <row r="15">
      <c r="A15" s="7" t="inlineStr">
        <is>
          <t>Event</t>
        </is>
      </c>
      <c r="B15" s="7" t="inlineStr">
        <is>
          <t>Teams evaluated</t>
        </is>
      </c>
      <c r="C15" s="10" t="inlineStr">
        <is>
          <t>PO1</t>
        </is>
      </c>
      <c r="D15" s="10" t="inlineStr">
        <is>
          <t>PO2</t>
        </is>
      </c>
      <c r="E15" s="10" t="inlineStr">
        <is>
          <t>PO3</t>
        </is>
      </c>
      <c r="F15" s="10" t="inlineStr">
        <is>
          <t>PO4</t>
        </is>
      </c>
      <c r="G15" s="10" t="inlineStr">
        <is>
          <t>PO5</t>
        </is>
      </c>
      <c r="H15" s="10" t="inlineStr">
        <is>
          <t>PO6</t>
        </is>
      </c>
      <c r="I15" s="10" t="inlineStr">
        <is>
          <t>PO7</t>
        </is>
      </c>
      <c r="J15" s="10" t="inlineStr">
        <is>
          <t>PO8</t>
        </is>
      </c>
      <c r="K15" s="10" t="inlineStr">
        <is>
          <t>PO9</t>
        </is>
      </c>
      <c r="L15" s="10" t="inlineStr">
        <is>
          <t>PO10</t>
        </is>
      </c>
      <c r="M15" s="10" t="inlineStr">
        <is>
          <t>PO11</t>
        </is>
      </c>
      <c r="N15" s="10" t="inlineStr">
        <is>
          <t>PSO1</t>
        </is>
      </c>
      <c r="O15" s="10" t="inlineStr">
        <is>
          <t>PSO2</t>
        </is>
      </c>
    </row>
    <row r="16">
      <c r="A16" s="5" t="inlineStr">
        <is>
          <t>3rd Sem A — Intra</t>
        </is>
      </c>
      <c r="B16" s="11">
        <f>'3A Intra'!E33</f>
        <v/>
      </c>
      <c r="C16" s="12">
        <f>'3A Intra'!BE31</f>
        <v/>
      </c>
      <c r="D16" s="12">
        <f>'3A Intra'!BF31</f>
        <v/>
      </c>
      <c r="E16" s="12">
        <f>'3A Intra'!BG31</f>
        <v/>
      </c>
      <c r="F16" s="12">
        <f>'3A Intra'!BH31</f>
        <v/>
      </c>
      <c r="G16" s="12">
        <f>'3A Intra'!BI31</f>
        <v/>
      </c>
      <c r="H16" s="12">
        <f>'3A Intra'!BJ31</f>
        <v/>
      </c>
      <c r="I16" s="12">
        <f>'3A Intra'!BK31</f>
        <v/>
      </c>
      <c r="J16" s="12">
        <f>'3A Intra'!BL31</f>
        <v/>
      </c>
      <c r="K16" s="12">
        <f>'3A Intra'!BM31</f>
        <v/>
      </c>
      <c r="L16" s="12">
        <f>'3A Intra'!BN31</f>
        <v/>
      </c>
      <c r="M16" s="12">
        <f>'3A Intra'!BO31</f>
        <v/>
      </c>
      <c r="N16" s="12">
        <f>'3A Intra'!BP31</f>
        <v/>
      </c>
      <c r="O16" s="12">
        <f>'3A Intra'!BQ31</f>
        <v/>
      </c>
    </row>
    <row r="17">
      <c r="A17" s="5" t="inlineStr">
        <is>
          <t>3rd Sem B — Intra</t>
        </is>
      </c>
      <c r="B17" s="11">
        <f>'3B Intra'!E33</f>
        <v/>
      </c>
      <c r="C17" s="12">
        <f>'3B Intra'!BE31</f>
        <v/>
      </c>
      <c r="D17" s="12">
        <f>'3B Intra'!BF31</f>
        <v/>
      </c>
      <c r="E17" s="12">
        <f>'3B Intra'!BG31</f>
        <v/>
      </c>
      <c r="F17" s="12">
        <f>'3B Intra'!BH31</f>
        <v/>
      </c>
      <c r="G17" s="12">
        <f>'3B Intra'!BI31</f>
        <v/>
      </c>
      <c r="H17" s="12">
        <f>'3B Intra'!BJ31</f>
        <v/>
      </c>
      <c r="I17" s="12">
        <f>'3B Intra'!BK31</f>
        <v/>
      </c>
      <c r="J17" s="12">
        <f>'3B Intra'!BL31</f>
        <v/>
      </c>
      <c r="K17" s="12">
        <f>'3B Intra'!BM31</f>
        <v/>
      </c>
      <c r="L17" s="12">
        <f>'3B Intra'!BN31</f>
        <v/>
      </c>
      <c r="M17" s="12">
        <f>'3B Intra'!BO31</f>
        <v/>
      </c>
      <c r="N17" s="12">
        <f>'3B Intra'!BP31</f>
        <v/>
      </c>
      <c r="O17" s="12">
        <f>'3B Intra'!BQ31</f>
        <v/>
      </c>
    </row>
    <row r="18">
      <c r="A18" s="5" t="inlineStr">
        <is>
          <t>3rd Sem — Inter-Section</t>
        </is>
      </c>
      <c r="B18" s="11">
        <f>'3 Inter'!E23</f>
        <v/>
      </c>
      <c r="C18" s="12">
        <f>'3 Inter'!BE21</f>
        <v/>
      </c>
      <c r="D18" s="12">
        <f>'3 Inter'!BF21</f>
        <v/>
      </c>
      <c r="E18" s="12">
        <f>'3 Inter'!BG21</f>
        <v/>
      </c>
      <c r="F18" s="12">
        <f>'3 Inter'!BH21</f>
        <v/>
      </c>
      <c r="G18" s="12">
        <f>'3 Inter'!BI21</f>
        <v/>
      </c>
      <c r="H18" s="12">
        <f>'3 Inter'!BJ21</f>
        <v/>
      </c>
      <c r="I18" s="12">
        <f>'3 Inter'!BK21</f>
        <v/>
      </c>
      <c r="J18" s="12">
        <f>'3 Inter'!BL21</f>
        <v/>
      </c>
      <c r="K18" s="12">
        <f>'3 Inter'!BM21</f>
        <v/>
      </c>
      <c r="L18" s="12">
        <f>'3 Inter'!BN21</f>
        <v/>
      </c>
      <c r="M18" s="12">
        <f>'3 Inter'!BO21</f>
        <v/>
      </c>
      <c r="N18" s="12">
        <f>'3 Inter'!BP21</f>
        <v/>
      </c>
      <c r="O18" s="12">
        <f>'3 Inter'!BQ21</f>
        <v/>
      </c>
    </row>
    <row r="19">
      <c r="A19" s="5" t="inlineStr">
        <is>
          <t>5th Sem A — Intra</t>
        </is>
      </c>
      <c r="B19" s="11">
        <f>'5A Intra'!E33</f>
        <v/>
      </c>
      <c r="C19" s="12">
        <f>'5A Intra'!BE31</f>
        <v/>
      </c>
      <c r="D19" s="12">
        <f>'5A Intra'!BF31</f>
        <v/>
      </c>
      <c r="E19" s="12">
        <f>'5A Intra'!BG31</f>
        <v/>
      </c>
      <c r="F19" s="12">
        <f>'5A Intra'!BH31</f>
        <v/>
      </c>
      <c r="G19" s="12">
        <f>'5A Intra'!BI31</f>
        <v/>
      </c>
      <c r="H19" s="12">
        <f>'5A Intra'!BJ31</f>
        <v/>
      </c>
      <c r="I19" s="12">
        <f>'5A Intra'!BK31</f>
        <v/>
      </c>
      <c r="J19" s="12">
        <f>'5A Intra'!BL31</f>
        <v/>
      </c>
      <c r="K19" s="12">
        <f>'5A Intra'!BM31</f>
        <v/>
      </c>
      <c r="L19" s="12">
        <f>'5A Intra'!BN31</f>
        <v/>
      </c>
      <c r="M19" s="12">
        <f>'5A Intra'!BO31</f>
        <v/>
      </c>
      <c r="N19" s="12">
        <f>'5A Intra'!BP31</f>
        <v/>
      </c>
      <c r="O19" s="12">
        <f>'5A Intra'!BQ31</f>
        <v/>
      </c>
    </row>
    <row r="20">
      <c r="A20" s="5" t="inlineStr">
        <is>
          <t>5th Sem B — Intra</t>
        </is>
      </c>
      <c r="B20" s="11">
        <f>'5B Intra'!E33</f>
        <v/>
      </c>
      <c r="C20" s="12">
        <f>'5B Intra'!BE31</f>
        <v/>
      </c>
      <c r="D20" s="12">
        <f>'5B Intra'!BF31</f>
        <v/>
      </c>
      <c r="E20" s="12">
        <f>'5B Intra'!BG31</f>
        <v/>
      </c>
      <c r="F20" s="12">
        <f>'5B Intra'!BH31</f>
        <v/>
      </c>
      <c r="G20" s="12">
        <f>'5B Intra'!BI31</f>
        <v/>
      </c>
      <c r="H20" s="12">
        <f>'5B Intra'!BJ31</f>
        <v/>
      </c>
      <c r="I20" s="12">
        <f>'5B Intra'!BK31</f>
        <v/>
      </c>
      <c r="J20" s="12">
        <f>'5B Intra'!BL31</f>
        <v/>
      </c>
      <c r="K20" s="12">
        <f>'5B Intra'!BM31</f>
        <v/>
      </c>
      <c r="L20" s="12">
        <f>'5B Intra'!BN31</f>
        <v/>
      </c>
      <c r="M20" s="12">
        <f>'5B Intra'!BO31</f>
        <v/>
      </c>
      <c r="N20" s="12">
        <f>'5B Intra'!BP31</f>
        <v/>
      </c>
      <c r="O20" s="12">
        <f>'5B Intra'!BQ31</f>
        <v/>
      </c>
    </row>
    <row r="21">
      <c r="A21" s="5" t="inlineStr">
        <is>
          <t>5th Sem — Inter-Section</t>
        </is>
      </c>
      <c r="B21" s="11">
        <f>'5 Inter'!E23</f>
        <v/>
      </c>
      <c r="C21" s="12">
        <f>'5 Inter'!BE21</f>
        <v/>
      </c>
      <c r="D21" s="12">
        <f>'5 Inter'!BF21</f>
        <v/>
      </c>
      <c r="E21" s="12">
        <f>'5 Inter'!BG21</f>
        <v/>
      </c>
      <c r="F21" s="12">
        <f>'5 Inter'!BH21</f>
        <v/>
      </c>
      <c r="G21" s="12">
        <f>'5 Inter'!BI21</f>
        <v/>
      </c>
      <c r="H21" s="12">
        <f>'5 Inter'!BJ21</f>
        <v/>
      </c>
      <c r="I21" s="12">
        <f>'5 Inter'!BK21</f>
        <v/>
      </c>
      <c r="J21" s="12">
        <f>'5 Inter'!BL21</f>
        <v/>
      </c>
      <c r="K21" s="12">
        <f>'5 Inter'!BM21</f>
        <v/>
      </c>
      <c r="L21" s="12">
        <f>'5 Inter'!BN21</f>
        <v/>
      </c>
      <c r="M21" s="12">
        <f>'5 Inter'!BO21</f>
        <v/>
      </c>
      <c r="N21" s="12">
        <f>'5 Inter'!BP21</f>
        <v/>
      </c>
      <c r="O21" s="12">
        <f>'5 Inter'!BQ21</f>
        <v/>
      </c>
    </row>
    <row r="22">
      <c r="A22" s="13" t="inlineStr">
        <is>
          <t>Overall (weighted by teams)</t>
        </is>
      </c>
      <c r="B22" s="14">
        <f>SUM(B16:B21)</f>
        <v/>
      </c>
      <c r="C22" s="15">
        <f>IFERROR(SUMPRODUCT(C16:C21,$B$16:$B$21)/SUMPRODUCT(--ISNUMBER(C16:C21),$B$16:$B$21),"")</f>
        <v/>
      </c>
      <c r="D22" s="15">
        <f>IFERROR(SUMPRODUCT(D16:D21,$B$16:$B$21)/SUMPRODUCT(--ISNUMBER(D16:D21),$B$16:$B$21),"")</f>
        <v/>
      </c>
      <c r="E22" s="15">
        <f>IFERROR(SUMPRODUCT(E16:E21,$B$16:$B$21)/SUMPRODUCT(--ISNUMBER(E16:E21),$B$16:$B$21),"")</f>
        <v/>
      </c>
      <c r="F22" s="15">
        <f>IFERROR(SUMPRODUCT(F16:F21,$B$16:$B$21)/SUMPRODUCT(--ISNUMBER(F16:F21),$B$16:$B$21),"")</f>
        <v/>
      </c>
      <c r="G22" s="15">
        <f>IFERROR(SUMPRODUCT(G16:G21,$B$16:$B$21)/SUMPRODUCT(--ISNUMBER(G16:G21),$B$16:$B$21),"")</f>
        <v/>
      </c>
      <c r="H22" s="15">
        <f>IFERROR(SUMPRODUCT(H16:H21,$B$16:$B$21)/SUMPRODUCT(--ISNUMBER(H16:H21),$B$16:$B$21),"")</f>
        <v/>
      </c>
      <c r="I22" s="15">
        <f>IFERROR(SUMPRODUCT(I16:I21,$B$16:$B$21)/SUMPRODUCT(--ISNUMBER(I16:I21),$B$16:$B$21),"")</f>
        <v/>
      </c>
      <c r="J22" s="15">
        <f>IFERROR(SUMPRODUCT(J16:J21,$B$16:$B$21)/SUMPRODUCT(--ISNUMBER(J16:J21),$B$16:$B$21),"")</f>
        <v/>
      </c>
      <c r="K22" s="15">
        <f>IFERROR(SUMPRODUCT(K16:K21,$B$16:$B$21)/SUMPRODUCT(--ISNUMBER(K16:K21),$B$16:$B$21),"")</f>
        <v/>
      </c>
      <c r="L22" s="15">
        <f>IFERROR(SUMPRODUCT(L16:L21,$B$16:$B$21)/SUMPRODUCT(--ISNUMBER(L16:L21),$B$16:$B$21),"")</f>
        <v/>
      </c>
      <c r="M22" s="15">
        <f>IFERROR(SUMPRODUCT(M16:M21,$B$16:$B$21)/SUMPRODUCT(--ISNUMBER(M16:M21),$B$16:$B$21),"")</f>
        <v/>
      </c>
      <c r="N22" s="15">
        <f>IFERROR(SUMPRODUCT(N16:N21,$B$16:$B$21)/SUMPRODUCT(--ISNUMBER(N16:N21),$B$16:$B$21),"")</f>
        <v/>
      </c>
      <c r="O22" s="15">
        <f>IFERROR(SUMPRODUCT(O16:O21,$B$16:$B$21)/SUMPRODUCT(--ISNUMBER(O16:O21),$B$16:$B$21),"")</f>
        <v/>
      </c>
    </row>
    <row r="24">
      <c r="A24" s="9" t="inlineStr">
        <is>
          <t>Table 3 — PO / PSO attainment level (0–3) by event</t>
        </is>
      </c>
    </row>
    <row r="25">
      <c r="A25" s="7" t="inlineStr">
        <is>
          <t>Event</t>
        </is>
      </c>
      <c r="B25" s="7" t="inlineStr">
        <is>
          <t>Teams evaluated</t>
        </is>
      </c>
      <c r="C25" s="10" t="inlineStr">
        <is>
          <t>PO1</t>
        </is>
      </c>
      <c r="D25" s="10" t="inlineStr">
        <is>
          <t>PO2</t>
        </is>
      </c>
      <c r="E25" s="10" t="inlineStr">
        <is>
          <t>PO3</t>
        </is>
      </c>
      <c r="F25" s="10" t="inlineStr">
        <is>
          <t>PO4</t>
        </is>
      </c>
      <c r="G25" s="10" t="inlineStr">
        <is>
          <t>PO5</t>
        </is>
      </c>
      <c r="H25" s="10" t="inlineStr">
        <is>
          <t>PO6</t>
        </is>
      </c>
      <c r="I25" s="10" t="inlineStr">
        <is>
          <t>PO7</t>
        </is>
      </c>
      <c r="J25" s="10" t="inlineStr">
        <is>
          <t>PO8</t>
        </is>
      </c>
      <c r="K25" s="10" t="inlineStr">
        <is>
          <t>PO9</t>
        </is>
      </c>
      <c r="L25" s="10" t="inlineStr">
        <is>
          <t>PO10</t>
        </is>
      </c>
      <c r="M25" s="10" t="inlineStr">
        <is>
          <t>PO11</t>
        </is>
      </c>
      <c r="N25" s="10" t="inlineStr">
        <is>
          <t>PSO1</t>
        </is>
      </c>
      <c r="O25" s="10" t="inlineStr">
        <is>
          <t>PSO2</t>
        </is>
      </c>
    </row>
    <row r="26">
      <c r="A26" s="5" t="inlineStr">
        <is>
          <t>3rd Sem A — Intra</t>
        </is>
      </c>
      <c r="B26" s="11">
        <f>'3A Intra'!E33</f>
        <v/>
      </c>
      <c r="C26" s="11">
        <f>'3A Intra'!BE32</f>
        <v/>
      </c>
      <c r="D26" s="11">
        <f>'3A Intra'!BF32</f>
        <v/>
      </c>
      <c r="E26" s="11">
        <f>'3A Intra'!BG32</f>
        <v/>
      </c>
      <c r="F26" s="11">
        <f>'3A Intra'!BH32</f>
        <v/>
      </c>
      <c r="G26" s="11">
        <f>'3A Intra'!BI32</f>
        <v/>
      </c>
      <c r="H26" s="11">
        <f>'3A Intra'!BJ32</f>
        <v/>
      </c>
      <c r="I26" s="11">
        <f>'3A Intra'!BK32</f>
        <v/>
      </c>
      <c r="J26" s="11">
        <f>'3A Intra'!BL32</f>
        <v/>
      </c>
      <c r="K26" s="11">
        <f>'3A Intra'!BM32</f>
        <v/>
      </c>
      <c r="L26" s="11">
        <f>'3A Intra'!BN32</f>
        <v/>
      </c>
      <c r="M26" s="11">
        <f>'3A Intra'!BO32</f>
        <v/>
      </c>
      <c r="N26" s="11">
        <f>'3A Intra'!BP32</f>
        <v/>
      </c>
      <c r="O26" s="11">
        <f>'3A Intra'!BQ32</f>
        <v/>
      </c>
    </row>
    <row r="27">
      <c r="A27" s="5" t="inlineStr">
        <is>
          <t>3rd Sem B — Intra</t>
        </is>
      </c>
      <c r="B27" s="11">
        <f>'3B Intra'!E33</f>
        <v/>
      </c>
      <c r="C27" s="11">
        <f>'3B Intra'!BE32</f>
        <v/>
      </c>
      <c r="D27" s="11">
        <f>'3B Intra'!BF32</f>
        <v/>
      </c>
      <c r="E27" s="11">
        <f>'3B Intra'!BG32</f>
        <v/>
      </c>
      <c r="F27" s="11">
        <f>'3B Intra'!BH32</f>
        <v/>
      </c>
      <c r="G27" s="11">
        <f>'3B Intra'!BI32</f>
        <v/>
      </c>
      <c r="H27" s="11">
        <f>'3B Intra'!BJ32</f>
        <v/>
      </c>
      <c r="I27" s="11">
        <f>'3B Intra'!BK32</f>
        <v/>
      </c>
      <c r="J27" s="11">
        <f>'3B Intra'!BL32</f>
        <v/>
      </c>
      <c r="K27" s="11">
        <f>'3B Intra'!BM32</f>
        <v/>
      </c>
      <c r="L27" s="11">
        <f>'3B Intra'!BN32</f>
        <v/>
      </c>
      <c r="M27" s="11">
        <f>'3B Intra'!BO32</f>
        <v/>
      </c>
      <c r="N27" s="11">
        <f>'3B Intra'!BP32</f>
        <v/>
      </c>
      <c r="O27" s="11">
        <f>'3B Intra'!BQ32</f>
        <v/>
      </c>
    </row>
    <row r="28">
      <c r="A28" s="5" t="inlineStr">
        <is>
          <t>3rd Sem — Inter-Section</t>
        </is>
      </c>
      <c r="B28" s="11">
        <f>'3 Inter'!E23</f>
        <v/>
      </c>
      <c r="C28" s="11">
        <f>'3 Inter'!BE22</f>
        <v/>
      </c>
      <c r="D28" s="11">
        <f>'3 Inter'!BF22</f>
        <v/>
      </c>
      <c r="E28" s="11">
        <f>'3 Inter'!BG22</f>
        <v/>
      </c>
      <c r="F28" s="11">
        <f>'3 Inter'!BH22</f>
        <v/>
      </c>
      <c r="G28" s="11">
        <f>'3 Inter'!BI22</f>
        <v/>
      </c>
      <c r="H28" s="11">
        <f>'3 Inter'!BJ22</f>
        <v/>
      </c>
      <c r="I28" s="11">
        <f>'3 Inter'!BK22</f>
        <v/>
      </c>
      <c r="J28" s="11">
        <f>'3 Inter'!BL22</f>
        <v/>
      </c>
      <c r="K28" s="11">
        <f>'3 Inter'!BM22</f>
        <v/>
      </c>
      <c r="L28" s="11">
        <f>'3 Inter'!BN22</f>
        <v/>
      </c>
      <c r="M28" s="11">
        <f>'3 Inter'!BO22</f>
        <v/>
      </c>
      <c r="N28" s="11">
        <f>'3 Inter'!BP22</f>
        <v/>
      </c>
      <c r="O28" s="11">
        <f>'3 Inter'!BQ22</f>
        <v/>
      </c>
    </row>
    <row r="29">
      <c r="A29" s="5" t="inlineStr">
        <is>
          <t>5th Sem A — Intra</t>
        </is>
      </c>
      <c r="B29" s="11">
        <f>'5A Intra'!E33</f>
        <v/>
      </c>
      <c r="C29" s="11">
        <f>'5A Intra'!BE32</f>
        <v/>
      </c>
      <c r="D29" s="11">
        <f>'5A Intra'!BF32</f>
        <v/>
      </c>
      <c r="E29" s="11">
        <f>'5A Intra'!BG32</f>
        <v/>
      </c>
      <c r="F29" s="11">
        <f>'5A Intra'!BH32</f>
        <v/>
      </c>
      <c r="G29" s="11">
        <f>'5A Intra'!BI32</f>
        <v/>
      </c>
      <c r="H29" s="11">
        <f>'5A Intra'!BJ32</f>
        <v/>
      </c>
      <c r="I29" s="11">
        <f>'5A Intra'!BK32</f>
        <v/>
      </c>
      <c r="J29" s="11">
        <f>'5A Intra'!BL32</f>
        <v/>
      </c>
      <c r="K29" s="11">
        <f>'5A Intra'!BM32</f>
        <v/>
      </c>
      <c r="L29" s="11">
        <f>'5A Intra'!BN32</f>
        <v/>
      </c>
      <c r="M29" s="11">
        <f>'5A Intra'!BO32</f>
        <v/>
      </c>
      <c r="N29" s="11">
        <f>'5A Intra'!BP32</f>
        <v/>
      </c>
      <c r="O29" s="11">
        <f>'5A Intra'!BQ32</f>
        <v/>
      </c>
    </row>
    <row r="30">
      <c r="A30" s="5" t="inlineStr">
        <is>
          <t>5th Sem B — Intra</t>
        </is>
      </c>
      <c r="B30" s="11">
        <f>'5B Intra'!E33</f>
        <v/>
      </c>
      <c r="C30" s="11">
        <f>'5B Intra'!BE32</f>
        <v/>
      </c>
      <c r="D30" s="11">
        <f>'5B Intra'!BF32</f>
        <v/>
      </c>
      <c r="E30" s="11">
        <f>'5B Intra'!BG32</f>
        <v/>
      </c>
      <c r="F30" s="11">
        <f>'5B Intra'!BH32</f>
        <v/>
      </c>
      <c r="G30" s="11">
        <f>'5B Intra'!BI32</f>
        <v/>
      </c>
      <c r="H30" s="11">
        <f>'5B Intra'!BJ32</f>
        <v/>
      </c>
      <c r="I30" s="11">
        <f>'5B Intra'!BK32</f>
        <v/>
      </c>
      <c r="J30" s="11">
        <f>'5B Intra'!BL32</f>
        <v/>
      </c>
      <c r="K30" s="11">
        <f>'5B Intra'!BM32</f>
        <v/>
      </c>
      <c r="L30" s="11">
        <f>'5B Intra'!BN32</f>
        <v/>
      </c>
      <c r="M30" s="11">
        <f>'5B Intra'!BO32</f>
        <v/>
      </c>
      <c r="N30" s="11">
        <f>'5B Intra'!BP32</f>
        <v/>
      </c>
      <c r="O30" s="11">
        <f>'5B Intra'!BQ32</f>
        <v/>
      </c>
    </row>
    <row r="31">
      <c r="A31" s="5" t="inlineStr">
        <is>
          <t>5th Sem — Inter-Section</t>
        </is>
      </c>
      <c r="B31" s="11">
        <f>'5 Inter'!E23</f>
        <v/>
      </c>
      <c r="C31" s="11">
        <f>'5 Inter'!BE22</f>
        <v/>
      </c>
      <c r="D31" s="11">
        <f>'5 Inter'!BF22</f>
        <v/>
      </c>
      <c r="E31" s="11">
        <f>'5 Inter'!BG22</f>
        <v/>
      </c>
      <c r="F31" s="11">
        <f>'5 Inter'!BH22</f>
        <v/>
      </c>
      <c r="G31" s="11">
        <f>'5 Inter'!BI22</f>
        <v/>
      </c>
      <c r="H31" s="11">
        <f>'5 Inter'!BJ22</f>
        <v/>
      </c>
      <c r="I31" s="11">
        <f>'5 Inter'!BK22</f>
        <v/>
      </c>
      <c r="J31" s="11">
        <f>'5 Inter'!BL22</f>
        <v/>
      </c>
      <c r="K31" s="11">
        <f>'5 Inter'!BM22</f>
        <v/>
      </c>
      <c r="L31" s="11">
        <f>'5 Inter'!BN22</f>
        <v/>
      </c>
      <c r="M31" s="11">
        <f>'5 Inter'!BO22</f>
        <v/>
      </c>
      <c r="N31" s="11">
        <f>'5 Inter'!BP22</f>
        <v/>
      </c>
      <c r="O31" s="11">
        <f>'5 Inter'!BQ22</f>
        <v/>
      </c>
    </row>
    <row r="32">
      <c r="A32" s="13" t="inlineStr">
        <is>
          <t>Overall attainment level</t>
        </is>
      </c>
      <c r="B32" s="14">
        <f>B22</f>
        <v/>
      </c>
      <c r="C32" s="14">
        <f>IF(C22="","",IF(C22&gt;=Mapping!$C$8,3,IF(C22&gt;=Mapping!$C$9,2,IF(C22&gt;=Mapping!$C$10,1,0))))</f>
        <v/>
      </c>
      <c r="D32" s="14">
        <f>IF(D22="","",IF(D22&gt;=Mapping!$C$8,3,IF(D22&gt;=Mapping!$C$9,2,IF(D22&gt;=Mapping!$C$10,1,0))))</f>
        <v/>
      </c>
      <c r="E32" s="14">
        <f>IF(E22="","",IF(E22&gt;=Mapping!$C$8,3,IF(E22&gt;=Mapping!$C$9,2,IF(E22&gt;=Mapping!$C$10,1,0))))</f>
        <v/>
      </c>
      <c r="F32" s="14">
        <f>IF(F22="","",IF(F22&gt;=Mapping!$C$8,3,IF(F22&gt;=Mapping!$C$9,2,IF(F22&gt;=Mapping!$C$10,1,0))))</f>
        <v/>
      </c>
      <c r="G32" s="14">
        <f>IF(G22="","",IF(G22&gt;=Mapping!$C$8,3,IF(G22&gt;=Mapping!$C$9,2,IF(G22&gt;=Mapping!$C$10,1,0))))</f>
        <v/>
      </c>
      <c r="H32" s="14">
        <f>IF(H22="","",IF(H22&gt;=Mapping!$C$8,3,IF(H22&gt;=Mapping!$C$9,2,IF(H22&gt;=Mapping!$C$10,1,0))))</f>
        <v/>
      </c>
      <c r="I32" s="14">
        <f>IF(I22="","",IF(I22&gt;=Mapping!$C$8,3,IF(I22&gt;=Mapping!$C$9,2,IF(I22&gt;=Mapping!$C$10,1,0))))</f>
        <v/>
      </c>
      <c r="J32" s="14">
        <f>IF(J22="","",IF(J22&gt;=Mapping!$C$8,3,IF(J22&gt;=Mapping!$C$9,2,IF(J22&gt;=Mapping!$C$10,1,0))))</f>
        <v/>
      </c>
      <c r="K32" s="14">
        <f>IF(K22="","",IF(K22&gt;=Mapping!$C$8,3,IF(K22&gt;=Mapping!$C$9,2,IF(K22&gt;=Mapping!$C$10,1,0))))</f>
        <v/>
      </c>
      <c r="L32" s="14">
        <f>IF(L22="","",IF(L22&gt;=Mapping!$C$8,3,IF(L22&gt;=Mapping!$C$9,2,IF(L22&gt;=Mapping!$C$10,1,0))))</f>
        <v/>
      </c>
      <c r="M32" s="14">
        <f>IF(M22="","",IF(M22&gt;=Mapping!$C$8,3,IF(M22&gt;=Mapping!$C$9,2,IF(M22&gt;=Mapping!$C$10,1,0))))</f>
        <v/>
      </c>
      <c r="N32" s="14">
        <f>IF(N22="","",IF(N22&gt;=Mapping!$C$8,3,IF(N22&gt;=Mapping!$C$9,2,IF(N22&gt;=Mapping!$C$10,1,0))))</f>
        <v/>
      </c>
      <c r="O32" s="14">
        <f>IF(O22="","",IF(O22&gt;=Mapping!$C$8,3,IF(O22&gt;=Mapping!$C$9,2,IF(O22&gt;=Mapping!$C$10,1,0))))</f>
        <v/>
      </c>
    </row>
    <row r="34">
      <c r="A34" s="16" t="inlineStr">
        <is>
          <t>Table 4 — SDG attainment by event (contribution strength, 0–3)</t>
        </is>
      </c>
    </row>
    <row r="35" ht="45" customHeight="1">
      <c r="A35" s="17" t="inlineStr">
        <is>
          <t>Event</t>
        </is>
      </c>
      <c r="B35" s="17" t="inlineStr">
        <is>
          <t>Team–SDG pairs claimed</t>
        </is>
      </c>
      <c r="C35" s="17" t="inlineStr">
        <is>
          <t>Pairs rated</t>
        </is>
      </c>
      <c r="D35" s="17" t="inlineStr">
        <is>
          <t>Avg contribution strength (0–3)</t>
        </is>
      </c>
      <c r="E35" s="17" t="inlineStr">
        <is>
          <t>% rated at/above target strength</t>
        </is>
      </c>
    </row>
    <row r="36">
      <c r="A36" s="5" t="inlineStr">
        <is>
          <t>3rd Sem A — Intra</t>
        </is>
      </c>
      <c r="B36" s="11">
        <f>'3A Intra'!E37</f>
        <v/>
      </c>
      <c r="C36" s="11">
        <f>'3A Intra'!E36</f>
        <v/>
      </c>
      <c r="D36" s="18">
        <f>'3A Intra'!E34</f>
        <v/>
      </c>
      <c r="E36" s="12">
        <f>'3A Intra'!E35</f>
        <v/>
      </c>
    </row>
    <row r="37">
      <c r="A37" s="5" t="inlineStr">
        <is>
          <t>3rd Sem B — Intra</t>
        </is>
      </c>
      <c r="B37" s="11">
        <f>'3B Intra'!E37</f>
        <v/>
      </c>
      <c r="C37" s="11">
        <f>'3B Intra'!E36</f>
        <v/>
      </c>
      <c r="D37" s="18">
        <f>'3B Intra'!E34</f>
        <v/>
      </c>
      <c r="E37" s="12">
        <f>'3B Intra'!E35</f>
        <v/>
      </c>
    </row>
    <row r="38">
      <c r="A38" s="5" t="inlineStr">
        <is>
          <t>3rd Sem — Inter-Section</t>
        </is>
      </c>
      <c r="B38" s="11">
        <f>'3 Inter'!E27</f>
        <v/>
      </c>
      <c r="C38" s="11">
        <f>'3 Inter'!E26</f>
        <v/>
      </c>
      <c r="D38" s="18">
        <f>'3 Inter'!E24</f>
        <v/>
      </c>
      <c r="E38" s="12">
        <f>'3 Inter'!E25</f>
        <v/>
      </c>
    </row>
    <row r="39">
      <c r="A39" s="5" t="inlineStr">
        <is>
          <t>5th Sem A — Intra</t>
        </is>
      </c>
      <c r="B39" s="11">
        <f>'5A Intra'!E37</f>
        <v/>
      </c>
      <c r="C39" s="11">
        <f>'5A Intra'!E36</f>
        <v/>
      </c>
      <c r="D39" s="18">
        <f>'5A Intra'!E34</f>
        <v/>
      </c>
      <c r="E39" s="12">
        <f>'5A Intra'!E35</f>
        <v/>
      </c>
    </row>
    <row r="40">
      <c r="A40" s="5" t="inlineStr">
        <is>
          <t>5th Sem B — Intra</t>
        </is>
      </c>
      <c r="B40" s="11">
        <f>'5B Intra'!E37</f>
        <v/>
      </c>
      <c r="C40" s="11">
        <f>'5B Intra'!E36</f>
        <v/>
      </c>
      <c r="D40" s="18">
        <f>'5B Intra'!E34</f>
        <v/>
      </c>
      <c r="E40" s="12">
        <f>'5B Intra'!E35</f>
        <v/>
      </c>
    </row>
    <row r="41">
      <c r="A41" s="5" t="inlineStr">
        <is>
          <t>5th Sem — Inter-Section</t>
        </is>
      </c>
      <c r="B41" s="11">
        <f>'5 Inter'!E27</f>
        <v/>
      </c>
      <c r="C41" s="11">
        <f>'5 Inter'!E26</f>
        <v/>
      </c>
      <c r="D41" s="18">
        <f>'5 Inter'!E24</f>
        <v/>
      </c>
      <c r="E41" s="12">
        <f>'5 Inter'!E25</f>
        <v/>
      </c>
    </row>
    <row r="42">
      <c r="A42" s="13" t="inlineStr">
        <is>
          <t>Overall (all rated pairs)</t>
        </is>
      </c>
      <c r="B42" s="14">
        <f>SUM(B36:B41)</f>
        <v/>
      </c>
      <c r="C42" s="14">
        <f>SUM(C36:C41)</f>
        <v/>
      </c>
      <c r="D42" s="19">
        <f>IFERROR(SUMPRODUCT(D36:D41,C36:C41)/C42,"")</f>
        <v/>
      </c>
      <c r="E42" s="15">
        <f>IFERROR(SUMPRODUCT(E36:E41,C36:C41)/C42,"")</f>
        <v/>
      </c>
    </row>
    <row r="45">
      <c r="A45" s="16" t="inlineStr">
        <is>
          <t>Table 5 — SDG goal-wise attainment, all events (contribution strength, 0–3)</t>
        </is>
      </c>
    </row>
    <row r="46" ht="58" customHeight="1">
      <c r="A46" s="17" t="inlineStr">
        <is>
          <t>Sustainable Development Goal</t>
        </is>
      </c>
      <c r="B46" s="17" t="inlineStr">
        <is>
          <t>3rd Sem A — Intra: solutions</t>
        </is>
      </c>
      <c r="C46" s="17" t="inlineStr">
        <is>
          <t>3rd Sem B — Intra: solutions</t>
        </is>
      </c>
      <c r="D46" s="17" t="inlineStr">
        <is>
          <t>3rd Sem — Inter-Section: solutions</t>
        </is>
      </c>
      <c r="E46" s="17" t="inlineStr">
        <is>
          <t>5th Sem A — Intra: solutions</t>
        </is>
      </c>
      <c r="F46" s="17" t="inlineStr">
        <is>
          <t>5th Sem B — Intra: solutions</t>
        </is>
      </c>
      <c r="G46" s="17" t="inlineStr">
        <is>
          <t>5th Sem — Inter-Section: solutions</t>
        </is>
      </c>
      <c r="H46" s="17" t="inlineStr">
        <is>
          <t>Total solutions</t>
        </is>
      </c>
      <c r="I46" s="17" t="inlineStr">
        <is>
          <t>Solutions rated</t>
        </is>
      </c>
      <c r="J46" s="17" t="inlineStr">
        <is>
          <t>Avg contribution strength (0–3)</t>
        </is>
      </c>
      <c r="K46" s="17" t="inlineStr">
        <is>
          <t>% rated at/above target strength</t>
        </is>
      </c>
    </row>
    <row r="47">
      <c r="A47" s="5">
        <f>'SDG List'!A2</f>
        <v/>
      </c>
      <c r="B47" s="11">
        <f>'3A Intra'!E41</f>
        <v/>
      </c>
      <c r="C47" s="11">
        <f>'3B Intra'!E41</f>
        <v/>
      </c>
      <c r="D47" s="11">
        <f>'3 Inter'!E31</f>
        <v/>
      </c>
      <c r="E47" s="11">
        <f>'5A Intra'!E41</f>
        <v/>
      </c>
      <c r="F47" s="11">
        <f>'5B Intra'!E41</f>
        <v/>
      </c>
      <c r="G47" s="11">
        <f>'5 Inter'!E31</f>
        <v/>
      </c>
      <c r="H47" s="20">
        <f>SUM(B47:G47)</f>
        <v/>
      </c>
      <c r="I47" s="11">
        <f>'3A Intra'!F41+'3B Intra'!F41+'3 Inter'!F31+'5A Intra'!F41+'5B Intra'!F41+'5 Inter'!F31</f>
        <v/>
      </c>
      <c r="J47" s="18">
        <f>IFERROR((N('3A Intra'!G41)*'3A Intra'!F41+N('3B Intra'!G41)*'3B Intra'!F41+N('3 Inter'!G31)*'3 Inter'!F31+N('5A Intra'!G41)*'5A Intra'!F41+N('5B Intra'!G41)*'5B Intra'!F41+N('5 Inter'!G31)*'5 Inter'!F31)/I47,"")</f>
        <v/>
      </c>
      <c r="K47" s="12">
        <f>IFERROR((N('3A Intra'!H41)*'3A Intra'!F41+N('3B Intra'!H41)*'3B Intra'!F41+N('3 Inter'!H31)*'3 Inter'!F31+N('5A Intra'!H41)*'5A Intra'!F41+N('5B Intra'!H41)*'5B Intra'!F41+N('5 Inter'!H31)*'5 Inter'!F31)/I47,"")</f>
        <v/>
      </c>
    </row>
    <row r="48">
      <c r="A48" s="5">
        <f>'SDG List'!A3</f>
        <v/>
      </c>
      <c r="B48" s="11">
        <f>'3A Intra'!E42</f>
        <v/>
      </c>
      <c r="C48" s="11">
        <f>'3B Intra'!E42</f>
        <v/>
      </c>
      <c r="D48" s="11">
        <f>'3 Inter'!E32</f>
        <v/>
      </c>
      <c r="E48" s="11">
        <f>'5A Intra'!E42</f>
        <v/>
      </c>
      <c r="F48" s="11">
        <f>'5B Intra'!E42</f>
        <v/>
      </c>
      <c r="G48" s="11">
        <f>'5 Inter'!E32</f>
        <v/>
      </c>
      <c r="H48" s="20">
        <f>SUM(B48:G48)</f>
        <v/>
      </c>
      <c r="I48" s="11">
        <f>'3A Intra'!F42+'3B Intra'!F42+'3 Inter'!F32+'5A Intra'!F42+'5B Intra'!F42+'5 Inter'!F32</f>
        <v/>
      </c>
      <c r="J48" s="18">
        <f>IFERROR((N('3A Intra'!G42)*'3A Intra'!F42+N('3B Intra'!G42)*'3B Intra'!F42+N('3 Inter'!G32)*'3 Inter'!F32+N('5A Intra'!G42)*'5A Intra'!F42+N('5B Intra'!G42)*'5B Intra'!F42+N('5 Inter'!G32)*'5 Inter'!F32)/I48,"")</f>
        <v/>
      </c>
      <c r="K48" s="12">
        <f>IFERROR((N('3A Intra'!H42)*'3A Intra'!F42+N('3B Intra'!H42)*'3B Intra'!F42+N('3 Inter'!H32)*'3 Inter'!F32+N('5A Intra'!H42)*'5A Intra'!F42+N('5B Intra'!H42)*'5B Intra'!F42+N('5 Inter'!H32)*'5 Inter'!F32)/I48,"")</f>
        <v/>
      </c>
    </row>
    <row r="49">
      <c r="A49" s="5">
        <f>'SDG List'!A4</f>
        <v/>
      </c>
      <c r="B49" s="11">
        <f>'3A Intra'!E43</f>
        <v/>
      </c>
      <c r="C49" s="11">
        <f>'3B Intra'!E43</f>
        <v/>
      </c>
      <c r="D49" s="11">
        <f>'3 Inter'!E33</f>
        <v/>
      </c>
      <c r="E49" s="11">
        <f>'5A Intra'!E43</f>
        <v/>
      </c>
      <c r="F49" s="11">
        <f>'5B Intra'!E43</f>
        <v/>
      </c>
      <c r="G49" s="11">
        <f>'5 Inter'!E33</f>
        <v/>
      </c>
      <c r="H49" s="20">
        <f>SUM(B49:G49)</f>
        <v/>
      </c>
      <c r="I49" s="11">
        <f>'3A Intra'!F43+'3B Intra'!F43+'3 Inter'!F33+'5A Intra'!F43+'5B Intra'!F43+'5 Inter'!F33</f>
        <v/>
      </c>
      <c r="J49" s="18">
        <f>IFERROR((N('3A Intra'!G43)*'3A Intra'!F43+N('3B Intra'!G43)*'3B Intra'!F43+N('3 Inter'!G33)*'3 Inter'!F33+N('5A Intra'!G43)*'5A Intra'!F43+N('5B Intra'!G43)*'5B Intra'!F43+N('5 Inter'!G33)*'5 Inter'!F33)/I49,"")</f>
        <v/>
      </c>
      <c r="K49" s="12">
        <f>IFERROR((N('3A Intra'!H43)*'3A Intra'!F43+N('3B Intra'!H43)*'3B Intra'!F43+N('3 Inter'!H33)*'3 Inter'!F33+N('5A Intra'!H43)*'5A Intra'!F43+N('5B Intra'!H43)*'5B Intra'!F43+N('5 Inter'!H33)*'5 Inter'!F33)/I49,"")</f>
        <v/>
      </c>
    </row>
    <row r="50">
      <c r="A50" s="5">
        <f>'SDG List'!A5</f>
        <v/>
      </c>
      <c r="B50" s="11">
        <f>'3A Intra'!E44</f>
        <v/>
      </c>
      <c r="C50" s="11">
        <f>'3B Intra'!E44</f>
        <v/>
      </c>
      <c r="D50" s="11">
        <f>'3 Inter'!E34</f>
        <v/>
      </c>
      <c r="E50" s="11">
        <f>'5A Intra'!E44</f>
        <v/>
      </c>
      <c r="F50" s="11">
        <f>'5B Intra'!E44</f>
        <v/>
      </c>
      <c r="G50" s="11">
        <f>'5 Inter'!E34</f>
        <v/>
      </c>
      <c r="H50" s="20">
        <f>SUM(B50:G50)</f>
        <v/>
      </c>
      <c r="I50" s="11">
        <f>'3A Intra'!F44+'3B Intra'!F44+'3 Inter'!F34+'5A Intra'!F44+'5B Intra'!F44+'5 Inter'!F34</f>
        <v/>
      </c>
      <c r="J50" s="18">
        <f>IFERROR((N('3A Intra'!G44)*'3A Intra'!F44+N('3B Intra'!G44)*'3B Intra'!F44+N('3 Inter'!G34)*'3 Inter'!F34+N('5A Intra'!G44)*'5A Intra'!F44+N('5B Intra'!G44)*'5B Intra'!F44+N('5 Inter'!G34)*'5 Inter'!F34)/I50,"")</f>
        <v/>
      </c>
      <c r="K50" s="12">
        <f>IFERROR((N('3A Intra'!H44)*'3A Intra'!F44+N('3B Intra'!H44)*'3B Intra'!F44+N('3 Inter'!H34)*'3 Inter'!F34+N('5A Intra'!H44)*'5A Intra'!F44+N('5B Intra'!H44)*'5B Intra'!F44+N('5 Inter'!H34)*'5 Inter'!F34)/I50,"")</f>
        <v/>
      </c>
    </row>
    <row r="51">
      <c r="A51" s="5">
        <f>'SDG List'!A6</f>
        <v/>
      </c>
      <c r="B51" s="11">
        <f>'3A Intra'!E45</f>
        <v/>
      </c>
      <c r="C51" s="11">
        <f>'3B Intra'!E45</f>
        <v/>
      </c>
      <c r="D51" s="11">
        <f>'3 Inter'!E35</f>
        <v/>
      </c>
      <c r="E51" s="11">
        <f>'5A Intra'!E45</f>
        <v/>
      </c>
      <c r="F51" s="11">
        <f>'5B Intra'!E45</f>
        <v/>
      </c>
      <c r="G51" s="11">
        <f>'5 Inter'!E35</f>
        <v/>
      </c>
      <c r="H51" s="20">
        <f>SUM(B51:G51)</f>
        <v/>
      </c>
      <c r="I51" s="11">
        <f>'3A Intra'!F45+'3B Intra'!F45+'3 Inter'!F35+'5A Intra'!F45+'5B Intra'!F45+'5 Inter'!F35</f>
        <v/>
      </c>
      <c r="J51" s="18">
        <f>IFERROR((N('3A Intra'!G45)*'3A Intra'!F45+N('3B Intra'!G45)*'3B Intra'!F45+N('3 Inter'!G35)*'3 Inter'!F35+N('5A Intra'!G45)*'5A Intra'!F45+N('5B Intra'!G45)*'5B Intra'!F45+N('5 Inter'!G35)*'5 Inter'!F35)/I51,"")</f>
        <v/>
      </c>
      <c r="K51" s="12">
        <f>IFERROR((N('3A Intra'!H45)*'3A Intra'!F45+N('3B Intra'!H45)*'3B Intra'!F45+N('3 Inter'!H35)*'3 Inter'!F35+N('5A Intra'!H45)*'5A Intra'!F45+N('5B Intra'!H45)*'5B Intra'!F45+N('5 Inter'!H35)*'5 Inter'!F35)/I51,"")</f>
        <v/>
      </c>
    </row>
    <row r="52">
      <c r="A52" s="5">
        <f>'SDG List'!A7</f>
        <v/>
      </c>
      <c r="B52" s="11">
        <f>'3A Intra'!E46</f>
        <v/>
      </c>
      <c r="C52" s="11">
        <f>'3B Intra'!E46</f>
        <v/>
      </c>
      <c r="D52" s="11">
        <f>'3 Inter'!E36</f>
        <v/>
      </c>
      <c r="E52" s="11">
        <f>'5A Intra'!E46</f>
        <v/>
      </c>
      <c r="F52" s="11">
        <f>'5B Intra'!E46</f>
        <v/>
      </c>
      <c r="G52" s="11">
        <f>'5 Inter'!E36</f>
        <v/>
      </c>
      <c r="H52" s="20">
        <f>SUM(B52:G52)</f>
        <v/>
      </c>
      <c r="I52" s="11">
        <f>'3A Intra'!F46+'3B Intra'!F46+'3 Inter'!F36+'5A Intra'!F46+'5B Intra'!F46+'5 Inter'!F36</f>
        <v/>
      </c>
      <c r="J52" s="18">
        <f>IFERROR((N('3A Intra'!G46)*'3A Intra'!F46+N('3B Intra'!G46)*'3B Intra'!F46+N('3 Inter'!G36)*'3 Inter'!F36+N('5A Intra'!G46)*'5A Intra'!F46+N('5B Intra'!G46)*'5B Intra'!F46+N('5 Inter'!G36)*'5 Inter'!F36)/I52,"")</f>
        <v/>
      </c>
      <c r="K52" s="12">
        <f>IFERROR((N('3A Intra'!H46)*'3A Intra'!F46+N('3B Intra'!H46)*'3B Intra'!F46+N('3 Inter'!H36)*'3 Inter'!F36+N('5A Intra'!H46)*'5A Intra'!F46+N('5B Intra'!H46)*'5B Intra'!F46+N('5 Inter'!H36)*'5 Inter'!F36)/I52,"")</f>
        <v/>
      </c>
    </row>
    <row r="53">
      <c r="A53" s="5">
        <f>'SDG List'!A8</f>
        <v/>
      </c>
      <c r="B53" s="11">
        <f>'3A Intra'!E47</f>
        <v/>
      </c>
      <c r="C53" s="11">
        <f>'3B Intra'!E47</f>
        <v/>
      </c>
      <c r="D53" s="11">
        <f>'3 Inter'!E37</f>
        <v/>
      </c>
      <c r="E53" s="11">
        <f>'5A Intra'!E47</f>
        <v/>
      </c>
      <c r="F53" s="11">
        <f>'5B Intra'!E47</f>
        <v/>
      </c>
      <c r="G53" s="11">
        <f>'5 Inter'!E37</f>
        <v/>
      </c>
      <c r="H53" s="20">
        <f>SUM(B53:G53)</f>
        <v/>
      </c>
      <c r="I53" s="11">
        <f>'3A Intra'!F47+'3B Intra'!F47+'3 Inter'!F37+'5A Intra'!F47+'5B Intra'!F47+'5 Inter'!F37</f>
        <v/>
      </c>
      <c r="J53" s="18">
        <f>IFERROR((N('3A Intra'!G47)*'3A Intra'!F47+N('3B Intra'!G47)*'3B Intra'!F47+N('3 Inter'!G37)*'3 Inter'!F37+N('5A Intra'!G47)*'5A Intra'!F47+N('5B Intra'!G47)*'5B Intra'!F47+N('5 Inter'!G37)*'5 Inter'!F37)/I53,"")</f>
        <v/>
      </c>
      <c r="K53" s="12">
        <f>IFERROR((N('3A Intra'!H47)*'3A Intra'!F47+N('3B Intra'!H47)*'3B Intra'!F47+N('3 Inter'!H37)*'3 Inter'!F37+N('5A Intra'!H47)*'5A Intra'!F47+N('5B Intra'!H47)*'5B Intra'!F47+N('5 Inter'!H37)*'5 Inter'!F37)/I53,"")</f>
        <v/>
      </c>
    </row>
    <row r="54">
      <c r="A54" s="5">
        <f>'SDG List'!A9</f>
        <v/>
      </c>
      <c r="B54" s="11">
        <f>'3A Intra'!E48</f>
        <v/>
      </c>
      <c r="C54" s="11">
        <f>'3B Intra'!E48</f>
        <v/>
      </c>
      <c r="D54" s="11">
        <f>'3 Inter'!E38</f>
        <v/>
      </c>
      <c r="E54" s="11">
        <f>'5A Intra'!E48</f>
        <v/>
      </c>
      <c r="F54" s="11">
        <f>'5B Intra'!E48</f>
        <v/>
      </c>
      <c r="G54" s="11">
        <f>'5 Inter'!E38</f>
        <v/>
      </c>
      <c r="H54" s="20">
        <f>SUM(B54:G54)</f>
        <v/>
      </c>
      <c r="I54" s="11">
        <f>'3A Intra'!F48+'3B Intra'!F48+'3 Inter'!F38+'5A Intra'!F48+'5B Intra'!F48+'5 Inter'!F38</f>
        <v/>
      </c>
      <c r="J54" s="18">
        <f>IFERROR((N('3A Intra'!G48)*'3A Intra'!F48+N('3B Intra'!G48)*'3B Intra'!F48+N('3 Inter'!G38)*'3 Inter'!F38+N('5A Intra'!G48)*'5A Intra'!F48+N('5B Intra'!G48)*'5B Intra'!F48+N('5 Inter'!G38)*'5 Inter'!F38)/I54,"")</f>
        <v/>
      </c>
      <c r="K54" s="12">
        <f>IFERROR((N('3A Intra'!H48)*'3A Intra'!F48+N('3B Intra'!H48)*'3B Intra'!F48+N('3 Inter'!H38)*'3 Inter'!F38+N('5A Intra'!H48)*'5A Intra'!F48+N('5B Intra'!H48)*'5B Intra'!F48+N('5 Inter'!H38)*'5 Inter'!F38)/I54,"")</f>
        <v/>
      </c>
    </row>
    <row r="55">
      <c r="A55" s="5">
        <f>'SDG List'!A10</f>
        <v/>
      </c>
      <c r="B55" s="11">
        <f>'3A Intra'!E49</f>
        <v/>
      </c>
      <c r="C55" s="11">
        <f>'3B Intra'!E49</f>
        <v/>
      </c>
      <c r="D55" s="11">
        <f>'3 Inter'!E39</f>
        <v/>
      </c>
      <c r="E55" s="11">
        <f>'5A Intra'!E49</f>
        <v/>
      </c>
      <c r="F55" s="11">
        <f>'5B Intra'!E49</f>
        <v/>
      </c>
      <c r="G55" s="11">
        <f>'5 Inter'!E39</f>
        <v/>
      </c>
      <c r="H55" s="20">
        <f>SUM(B55:G55)</f>
        <v/>
      </c>
      <c r="I55" s="11">
        <f>'3A Intra'!F49+'3B Intra'!F49+'3 Inter'!F39+'5A Intra'!F49+'5B Intra'!F49+'5 Inter'!F39</f>
        <v/>
      </c>
      <c r="J55" s="18">
        <f>IFERROR((N('3A Intra'!G49)*'3A Intra'!F49+N('3B Intra'!G49)*'3B Intra'!F49+N('3 Inter'!G39)*'3 Inter'!F39+N('5A Intra'!G49)*'5A Intra'!F49+N('5B Intra'!G49)*'5B Intra'!F49+N('5 Inter'!G39)*'5 Inter'!F39)/I55,"")</f>
        <v/>
      </c>
      <c r="K55" s="12">
        <f>IFERROR((N('3A Intra'!H49)*'3A Intra'!F49+N('3B Intra'!H49)*'3B Intra'!F49+N('3 Inter'!H39)*'3 Inter'!F39+N('5A Intra'!H49)*'5A Intra'!F49+N('5B Intra'!H49)*'5B Intra'!F49+N('5 Inter'!H39)*'5 Inter'!F39)/I55,"")</f>
        <v/>
      </c>
    </row>
    <row r="56">
      <c r="A56" s="5">
        <f>'SDG List'!A11</f>
        <v/>
      </c>
      <c r="B56" s="11">
        <f>'3A Intra'!E50</f>
        <v/>
      </c>
      <c r="C56" s="11">
        <f>'3B Intra'!E50</f>
        <v/>
      </c>
      <c r="D56" s="11">
        <f>'3 Inter'!E40</f>
        <v/>
      </c>
      <c r="E56" s="11">
        <f>'5A Intra'!E50</f>
        <v/>
      </c>
      <c r="F56" s="11">
        <f>'5B Intra'!E50</f>
        <v/>
      </c>
      <c r="G56" s="11">
        <f>'5 Inter'!E40</f>
        <v/>
      </c>
      <c r="H56" s="20">
        <f>SUM(B56:G56)</f>
        <v/>
      </c>
      <c r="I56" s="11">
        <f>'3A Intra'!F50+'3B Intra'!F50+'3 Inter'!F40+'5A Intra'!F50+'5B Intra'!F50+'5 Inter'!F40</f>
        <v/>
      </c>
      <c r="J56" s="18">
        <f>IFERROR((N('3A Intra'!G50)*'3A Intra'!F50+N('3B Intra'!G50)*'3B Intra'!F50+N('3 Inter'!G40)*'3 Inter'!F40+N('5A Intra'!G50)*'5A Intra'!F50+N('5B Intra'!G50)*'5B Intra'!F50+N('5 Inter'!G40)*'5 Inter'!F40)/I56,"")</f>
        <v/>
      </c>
      <c r="K56" s="12">
        <f>IFERROR((N('3A Intra'!H50)*'3A Intra'!F50+N('3B Intra'!H50)*'3B Intra'!F50+N('3 Inter'!H40)*'3 Inter'!F40+N('5A Intra'!H50)*'5A Intra'!F50+N('5B Intra'!H50)*'5B Intra'!F50+N('5 Inter'!H40)*'5 Inter'!F40)/I56,"")</f>
        <v/>
      </c>
    </row>
    <row r="57">
      <c r="A57" s="5">
        <f>'SDG List'!A12</f>
        <v/>
      </c>
      <c r="B57" s="11">
        <f>'3A Intra'!E51</f>
        <v/>
      </c>
      <c r="C57" s="11">
        <f>'3B Intra'!E51</f>
        <v/>
      </c>
      <c r="D57" s="11">
        <f>'3 Inter'!E41</f>
        <v/>
      </c>
      <c r="E57" s="11">
        <f>'5A Intra'!E51</f>
        <v/>
      </c>
      <c r="F57" s="11">
        <f>'5B Intra'!E51</f>
        <v/>
      </c>
      <c r="G57" s="11">
        <f>'5 Inter'!E41</f>
        <v/>
      </c>
      <c r="H57" s="20">
        <f>SUM(B57:G57)</f>
        <v/>
      </c>
      <c r="I57" s="11">
        <f>'3A Intra'!F51+'3B Intra'!F51+'3 Inter'!F41+'5A Intra'!F51+'5B Intra'!F51+'5 Inter'!F41</f>
        <v/>
      </c>
      <c r="J57" s="18">
        <f>IFERROR((N('3A Intra'!G51)*'3A Intra'!F51+N('3B Intra'!G51)*'3B Intra'!F51+N('3 Inter'!G41)*'3 Inter'!F41+N('5A Intra'!G51)*'5A Intra'!F51+N('5B Intra'!G51)*'5B Intra'!F51+N('5 Inter'!G41)*'5 Inter'!F41)/I57,"")</f>
        <v/>
      </c>
      <c r="K57" s="12">
        <f>IFERROR((N('3A Intra'!H51)*'3A Intra'!F51+N('3B Intra'!H51)*'3B Intra'!F51+N('3 Inter'!H41)*'3 Inter'!F41+N('5A Intra'!H51)*'5A Intra'!F51+N('5B Intra'!H51)*'5B Intra'!F51+N('5 Inter'!H41)*'5 Inter'!F41)/I57,"")</f>
        <v/>
      </c>
    </row>
    <row r="58">
      <c r="A58" s="5">
        <f>'SDG List'!A13</f>
        <v/>
      </c>
      <c r="B58" s="11">
        <f>'3A Intra'!E52</f>
        <v/>
      </c>
      <c r="C58" s="11">
        <f>'3B Intra'!E52</f>
        <v/>
      </c>
      <c r="D58" s="11">
        <f>'3 Inter'!E42</f>
        <v/>
      </c>
      <c r="E58" s="11">
        <f>'5A Intra'!E52</f>
        <v/>
      </c>
      <c r="F58" s="11">
        <f>'5B Intra'!E52</f>
        <v/>
      </c>
      <c r="G58" s="11">
        <f>'5 Inter'!E42</f>
        <v/>
      </c>
      <c r="H58" s="20">
        <f>SUM(B58:G58)</f>
        <v/>
      </c>
      <c r="I58" s="11">
        <f>'3A Intra'!F52+'3B Intra'!F52+'3 Inter'!F42+'5A Intra'!F52+'5B Intra'!F52+'5 Inter'!F42</f>
        <v/>
      </c>
      <c r="J58" s="18">
        <f>IFERROR((N('3A Intra'!G52)*'3A Intra'!F52+N('3B Intra'!G52)*'3B Intra'!F52+N('3 Inter'!G42)*'3 Inter'!F42+N('5A Intra'!G52)*'5A Intra'!F52+N('5B Intra'!G52)*'5B Intra'!F52+N('5 Inter'!G42)*'5 Inter'!F42)/I58,"")</f>
        <v/>
      </c>
      <c r="K58" s="12">
        <f>IFERROR((N('3A Intra'!H52)*'3A Intra'!F52+N('3B Intra'!H52)*'3B Intra'!F52+N('3 Inter'!H42)*'3 Inter'!F42+N('5A Intra'!H52)*'5A Intra'!F52+N('5B Intra'!H52)*'5B Intra'!F52+N('5 Inter'!H42)*'5 Inter'!F42)/I58,"")</f>
        <v/>
      </c>
    </row>
    <row r="59">
      <c r="A59" s="5">
        <f>'SDG List'!A14</f>
        <v/>
      </c>
      <c r="B59" s="11">
        <f>'3A Intra'!E53</f>
        <v/>
      </c>
      <c r="C59" s="11">
        <f>'3B Intra'!E53</f>
        <v/>
      </c>
      <c r="D59" s="11">
        <f>'3 Inter'!E43</f>
        <v/>
      </c>
      <c r="E59" s="11">
        <f>'5A Intra'!E53</f>
        <v/>
      </c>
      <c r="F59" s="11">
        <f>'5B Intra'!E53</f>
        <v/>
      </c>
      <c r="G59" s="11">
        <f>'5 Inter'!E43</f>
        <v/>
      </c>
      <c r="H59" s="20">
        <f>SUM(B59:G59)</f>
        <v/>
      </c>
      <c r="I59" s="11">
        <f>'3A Intra'!F53+'3B Intra'!F53+'3 Inter'!F43+'5A Intra'!F53+'5B Intra'!F53+'5 Inter'!F43</f>
        <v/>
      </c>
      <c r="J59" s="18">
        <f>IFERROR((N('3A Intra'!G53)*'3A Intra'!F53+N('3B Intra'!G53)*'3B Intra'!F53+N('3 Inter'!G43)*'3 Inter'!F43+N('5A Intra'!G53)*'5A Intra'!F53+N('5B Intra'!G53)*'5B Intra'!F53+N('5 Inter'!G43)*'5 Inter'!F43)/I59,"")</f>
        <v/>
      </c>
      <c r="K59" s="12">
        <f>IFERROR((N('3A Intra'!H53)*'3A Intra'!F53+N('3B Intra'!H53)*'3B Intra'!F53+N('3 Inter'!H43)*'3 Inter'!F43+N('5A Intra'!H53)*'5A Intra'!F53+N('5B Intra'!H53)*'5B Intra'!F53+N('5 Inter'!H43)*'5 Inter'!F43)/I59,"")</f>
        <v/>
      </c>
    </row>
    <row r="60">
      <c r="A60" s="5">
        <f>'SDG List'!A15</f>
        <v/>
      </c>
      <c r="B60" s="11">
        <f>'3A Intra'!E54</f>
        <v/>
      </c>
      <c r="C60" s="11">
        <f>'3B Intra'!E54</f>
        <v/>
      </c>
      <c r="D60" s="11">
        <f>'3 Inter'!E44</f>
        <v/>
      </c>
      <c r="E60" s="11">
        <f>'5A Intra'!E54</f>
        <v/>
      </c>
      <c r="F60" s="11">
        <f>'5B Intra'!E54</f>
        <v/>
      </c>
      <c r="G60" s="11">
        <f>'5 Inter'!E44</f>
        <v/>
      </c>
      <c r="H60" s="20">
        <f>SUM(B60:G60)</f>
        <v/>
      </c>
      <c r="I60" s="11">
        <f>'3A Intra'!F54+'3B Intra'!F54+'3 Inter'!F44+'5A Intra'!F54+'5B Intra'!F54+'5 Inter'!F44</f>
        <v/>
      </c>
      <c r="J60" s="18">
        <f>IFERROR((N('3A Intra'!G54)*'3A Intra'!F54+N('3B Intra'!G54)*'3B Intra'!F54+N('3 Inter'!G44)*'3 Inter'!F44+N('5A Intra'!G54)*'5A Intra'!F54+N('5B Intra'!G54)*'5B Intra'!F54+N('5 Inter'!G44)*'5 Inter'!F44)/I60,"")</f>
        <v/>
      </c>
      <c r="K60" s="12">
        <f>IFERROR((N('3A Intra'!H54)*'3A Intra'!F54+N('3B Intra'!H54)*'3B Intra'!F54+N('3 Inter'!H44)*'3 Inter'!F44+N('5A Intra'!H54)*'5A Intra'!F54+N('5B Intra'!H54)*'5B Intra'!F54+N('5 Inter'!H44)*'5 Inter'!F44)/I60,"")</f>
        <v/>
      </c>
    </row>
    <row r="61">
      <c r="A61" s="5">
        <f>'SDG List'!A16</f>
        <v/>
      </c>
      <c r="B61" s="11">
        <f>'3A Intra'!E55</f>
        <v/>
      </c>
      <c r="C61" s="11">
        <f>'3B Intra'!E55</f>
        <v/>
      </c>
      <c r="D61" s="11">
        <f>'3 Inter'!E45</f>
        <v/>
      </c>
      <c r="E61" s="11">
        <f>'5A Intra'!E55</f>
        <v/>
      </c>
      <c r="F61" s="11">
        <f>'5B Intra'!E55</f>
        <v/>
      </c>
      <c r="G61" s="11">
        <f>'5 Inter'!E45</f>
        <v/>
      </c>
      <c r="H61" s="20">
        <f>SUM(B61:G61)</f>
        <v/>
      </c>
      <c r="I61" s="11">
        <f>'3A Intra'!F55+'3B Intra'!F55+'3 Inter'!F45+'5A Intra'!F55+'5B Intra'!F55+'5 Inter'!F45</f>
        <v/>
      </c>
      <c r="J61" s="18">
        <f>IFERROR((N('3A Intra'!G55)*'3A Intra'!F55+N('3B Intra'!G55)*'3B Intra'!F55+N('3 Inter'!G45)*'3 Inter'!F45+N('5A Intra'!G55)*'5A Intra'!F55+N('5B Intra'!G55)*'5B Intra'!F55+N('5 Inter'!G45)*'5 Inter'!F45)/I61,"")</f>
        <v/>
      </c>
      <c r="K61" s="12">
        <f>IFERROR((N('3A Intra'!H55)*'3A Intra'!F55+N('3B Intra'!H55)*'3B Intra'!F55+N('3 Inter'!H45)*'3 Inter'!F45+N('5A Intra'!H55)*'5A Intra'!F55+N('5B Intra'!H55)*'5B Intra'!F55+N('5 Inter'!H45)*'5 Inter'!F45)/I61,"")</f>
        <v/>
      </c>
    </row>
    <row r="62">
      <c r="A62" s="5">
        <f>'SDG List'!A17</f>
        <v/>
      </c>
      <c r="B62" s="11">
        <f>'3A Intra'!E56</f>
        <v/>
      </c>
      <c r="C62" s="11">
        <f>'3B Intra'!E56</f>
        <v/>
      </c>
      <c r="D62" s="11">
        <f>'3 Inter'!E46</f>
        <v/>
      </c>
      <c r="E62" s="11">
        <f>'5A Intra'!E56</f>
        <v/>
      </c>
      <c r="F62" s="11">
        <f>'5B Intra'!E56</f>
        <v/>
      </c>
      <c r="G62" s="11">
        <f>'5 Inter'!E46</f>
        <v/>
      </c>
      <c r="H62" s="20">
        <f>SUM(B62:G62)</f>
        <v/>
      </c>
      <c r="I62" s="11">
        <f>'3A Intra'!F56+'3B Intra'!F56+'3 Inter'!F46+'5A Intra'!F56+'5B Intra'!F56+'5 Inter'!F46</f>
        <v/>
      </c>
      <c r="J62" s="18">
        <f>IFERROR((N('3A Intra'!G56)*'3A Intra'!F56+N('3B Intra'!G56)*'3B Intra'!F56+N('3 Inter'!G46)*'3 Inter'!F46+N('5A Intra'!G56)*'5A Intra'!F56+N('5B Intra'!G56)*'5B Intra'!F56+N('5 Inter'!G46)*'5 Inter'!F46)/I62,"")</f>
        <v/>
      </c>
      <c r="K62" s="12">
        <f>IFERROR((N('3A Intra'!H56)*'3A Intra'!F56+N('3B Intra'!H56)*'3B Intra'!F56+N('3 Inter'!H46)*'3 Inter'!F46+N('5A Intra'!H56)*'5A Intra'!F56+N('5B Intra'!H56)*'5B Intra'!F56+N('5 Inter'!H46)*'5 Inter'!F46)/I62,"")</f>
        <v/>
      </c>
    </row>
    <row r="63">
      <c r="A63" s="5">
        <f>'SDG List'!A18</f>
        <v/>
      </c>
      <c r="B63" s="11">
        <f>'3A Intra'!E57</f>
        <v/>
      </c>
      <c r="C63" s="11">
        <f>'3B Intra'!E57</f>
        <v/>
      </c>
      <c r="D63" s="11">
        <f>'3 Inter'!E47</f>
        <v/>
      </c>
      <c r="E63" s="11">
        <f>'5A Intra'!E57</f>
        <v/>
      </c>
      <c r="F63" s="11">
        <f>'5B Intra'!E57</f>
        <v/>
      </c>
      <c r="G63" s="11">
        <f>'5 Inter'!E47</f>
        <v/>
      </c>
      <c r="H63" s="20">
        <f>SUM(B63:G63)</f>
        <v/>
      </c>
      <c r="I63" s="11">
        <f>'3A Intra'!F57+'3B Intra'!F57+'3 Inter'!F47+'5A Intra'!F57+'5B Intra'!F57+'5 Inter'!F47</f>
        <v/>
      </c>
      <c r="J63" s="18">
        <f>IFERROR((N('3A Intra'!G57)*'3A Intra'!F57+N('3B Intra'!G57)*'3B Intra'!F57+N('3 Inter'!G47)*'3 Inter'!F47+N('5A Intra'!G57)*'5A Intra'!F57+N('5B Intra'!G57)*'5B Intra'!F57+N('5 Inter'!G47)*'5 Inter'!F47)/I63,"")</f>
        <v/>
      </c>
      <c r="K63" s="12">
        <f>IFERROR((N('3A Intra'!H57)*'3A Intra'!F57+N('3B Intra'!H57)*'3B Intra'!F57+N('3 Inter'!H47)*'3 Inter'!F47+N('5A Intra'!H57)*'5A Intra'!F57+N('5B Intra'!H57)*'5B Intra'!F57+N('5 Inter'!H47)*'5 Inter'!F47)/I63,"")</f>
        <v/>
      </c>
    </row>
    <row r="64">
      <c r="A64" s="13" t="inlineStr">
        <is>
          <t>Total</t>
        </is>
      </c>
      <c r="B64" s="14">
        <f>SUM(B47:B63)</f>
        <v/>
      </c>
      <c r="C64" s="14">
        <f>SUM(C47:C63)</f>
        <v/>
      </c>
      <c r="D64" s="14">
        <f>SUM(D47:D63)</f>
        <v/>
      </c>
      <c r="E64" s="14">
        <f>SUM(E47:E63)</f>
        <v/>
      </c>
      <c r="F64" s="14">
        <f>SUM(F47:F63)</f>
        <v/>
      </c>
      <c r="G64" s="14">
        <f>SUM(G47:G63)</f>
        <v/>
      </c>
      <c r="H64" s="14">
        <f>SUM(H47:H63)</f>
        <v/>
      </c>
      <c r="I64" s="14">
        <f>SUM(I47:I63)</f>
        <v/>
      </c>
    </row>
    <row r="67">
      <c r="A67" s="9" t="inlineStr">
        <is>
          <t>Table 6 — Shortlisted teams (auto-ranked; ties broken by Technical Implementation score)</t>
        </is>
      </c>
    </row>
    <row r="68">
      <c r="A68" s="7" t="inlineStr">
        <is>
          <t>Rank</t>
        </is>
      </c>
      <c r="B68" s="7" t="inlineStr">
        <is>
          <t>3rd Sem A — Intra</t>
        </is>
      </c>
      <c r="C68" s="21" t="n"/>
      <c r="D68" s="7" t="inlineStr">
        <is>
          <t>3rd Sem B — Intra</t>
        </is>
      </c>
      <c r="E68" s="21" t="n"/>
      <c r="F68" s="7" t="inlineStr">
        <is>
          <t>3rd Sem — Inter-Section</t>
        </is>
      </c>
      <c r="G68" s="21" t="n"/>
      <c r="H68" s="7" t="inlineStr">
        <is>
          <t>5th Sem A — Intra</t>
        </is>
      </c>
      <c r="I68" s="21" t="n"/>
      <c r="J68" s="7" t="inlineStr">
        <is>
          <t>5th Sem B — Intra</t>
        </is>
      </c>
      <c r="K68" s="21" t="n"/>
      <c r="L68" s="7" t="inlineStr">
        <is>
          <t>5th Sem — Inter-Section</t>
        </is>
      </c>
      <c r="M68" s="21" t="n"/>
    </row>
    <row r="69">
      <c r="A69" s="22" t="inlineStr"/>
      <c r="B69" s="23" t="inlineStr">
        <is>
          <t>Team</t>
        </is>
      </c>
      <c r="C69" s="23" t="inlineStr">
        <is>
          <t>Score</t>
        </is>
      </c>
      <c r="D69" s="23" t="inlineStr">
        <is>
          <t>Team</t>
        </is>
      </c>
      <c r="E69" s="23" t="inlineStr">
        <is>
          <t>Score</t>
        </is>
      </c>
      <c r="F69" s="23" t="inlineStr">
        <is>
          <t>Team</t>
        </is>
      </c>
      <c r="G69" s="23" t="inlineStr">
        <is>
          <t>Score</t>
        </is>
      </c>
      <c r="H69" s="23" t="inlineStr">
        <is>
          <t>Team</t>
        </is>
      </c>
      <c r="I69" s="23" t="inlineStr">
        <is>
          <t>Score</t>
        </is>
      </c>
      <c r="J69" s="23" t="inlineStr">
        <is>
          <t>Team</t>
        </is>
      </c>
      <c r="K69" s="23" t="inlineStr">
        <is>
          <t>Score</t>
        </is>
      </c>
      <c r="L69" s="23" t="inlineStr">
        <is>
          <t>Team</t>
        </is>
      </c>
      <c r="M69" s="23" t="inlineStr">
        <is>
          <t>Score</t>
        </is>
      </c>
    </row>
    <row r="70">
      <c r="A70" s="24" t="n">
        <v>1</v>
      </c>
      <c r="B70" s="5">
        <f>IFERROR(INDEX('3A Intra'!$D$7:$D$26,MATCH($A70,'3A Intra'!$BC$7:$BC$26,0))&amp;"","")</f>
        <v/>
      </c>
      <c r="C70" s="25">
        <f>IFERROR(INDEX('3A Intra'!$BA$7:$BA$26,MATCH($A70,'3A Intra'!$BC$7:$BC$26,0)),"")</f>
        <v/>
      </c>
      <c r="D70" s="5">
        <f>IFERROR(INDEX('3B Intra'!$D$7:$D$26,MATCH($A70,'3B Intra'!$BC$7:$BC$26,0))&amp;"","")</f>
        <v/>
      </c>
      <c r="E70" s="25">
        <f>IFERROR(INDEX('3B Intra'!$BA$7:$BA$26,MATCH($A70,'3B Intra'!$BC$7:$BC$26,0)),"")</f>
        <v/>
      </c>
      <c r="F70" s="5">
        <f>IFERROR(INDEX('3 Inter'!$D$7:$D$16,MATCH($A70,'3 Inter'!$BC$7:$BC$16,0))&amp;"","")</f>
        <v/>
      </c>
      <c r="G70" s="25">
        <f>IFERROR(INDEX('3 Inter'!$BA$7:$BA$16,MATCH($A70,'3 Inter'!$BC$7:$BC$16,0)),"")</f>
        <v/>
      </c>
      <c r="H70" s="5">
        <f>IFERROR(INDEX('5A Intra'!$D$7:$D$26,MATCH($A70,'5A Intra'!$BC$7:$BC$26,0))&amp;"","")</f>
        <v/>
      </c>
      <c r="I70" s="25">
        <f>IFERROR(INDEX('5A Intra'!$BA$7:$BA$26,MATCH($A70,'5A Intra'!$BC$7:$BC$26,0)),"")</f>
        <v/>
      </c>
      <c r="J70" s="5">
        <f>IFERROR(INDEX('5B Intra'!$D$7:$D$26,MATCH($A70,'5B Intra'!$BC$7:$BC$26,0))&amp;"","")</f>
        <v/>
      </c>
      <c r="K70" s="25">
        <f>IFERROR(INDEX('5B Intra'!$BA$7:$BA$26,MATCH($A70,'5B Intra'!$BC$7:$BC$26,0)),"")</f>
        <v/>
      </c>
      <c r="L70" s="5">
        <f>IFERROR(INDEX('5 Inter'!$D$7:$D$16,MATCH($A70,'5 Inter'!$BC$7:$BC$16,0))&amp;"","")</f>
        <v/>
      </c>
      <c r="M70" s="25">
        <f>IFERROR(INDEX('5 Inter'!$BA$7:$BA$16,MATCH($A70,'5 Inter'!$BC$7:$BC$16,0)),"")</f>
        <v/>
      </c>
    </row>
    <row r="71">
      <c r="A71" s="24" t="n">
        <v>2</v>
      </c>
      <c r="B71" s="5">
        <f>IFERROR(INDEX('3A Intra'!$D$7:$D$26,MATCH($A71,'3A Intra'!$BC$7:$BC$26,0))&amp;"","")</f>
        <v/>
      </c>
      <c r="C71" s="25">
        <f>IFERROR(INDEX('3A Intra'!$BA$7:$BA$26,MATCH($A71,'3A Intra'!$BC$7:$BC$26,0)),"")</f>
        <v/>
      </c>
      <c r="D71" s="5">
        <f>IFERROR(INDEX('3B Intra'!$D$7:$D$26,MATCH($A71,'3B Intra'!$BC$7:$BC$26,0))&amp;"","")</f>
        <v/>
      </c>
      <c r="E71" s="25">
        <f>IFERROR(INDEX('3B Intra'!$BA$7:$BA$26,MATCH($A71,'3B Intra'!$BC$7:$BC$26,0)),"")</f>
        <v/>
      </c>
      <c r="F71" s="5">
        <f>IFERROR(INDEX('3 Inter'!$D$7:$D$16,MATCH($A71,'3 Inter'!$BC$7:$BC$16,0))&amp;"","")</f>
        <v/>
      </c>
      <c r="G71" s="25">
        <f>IFERROR(INDEX('3 Inter'!$BA$7:$BA$16,MATCH($A71,'3 Inter'!$BC$7:$BC$16,0)),"")</f>
        <v/>
      </c>
      <c r="H71" s="5">
        <f>IFERROR(INDEX('5A Intra'!$D$7:$D$26,MATCH($A71,'5A Intra'!$BC$7:$BC$26,0))&amp;"","")</f>
        <v/>
      </c>
      <c r="I71" s="25">
        <f>IFERROR(INDEX('5A Intra'!$BA$7:$BA$26,MATCH($A71,'5A Intra'!$BC$7:$BC$26,0)),"")</f>
        <v/>
      </c>
      <c r="J71" s="5">
        <f>IFERROR(INDEX('5B Intra'!$D$7:$D$26,MATCH($A71,'5B Intra'!$BC$7:$BC$26,0))&amp;"","")</f>
        <v/>
      </c>
      <c r="K71" s="25">
        <f>IFERROR(INDEX('5B Intra'!$BA$7:$BA$26,MATCH($A71,'5B Intra'!$BC$7:$BC$26,0)),"")</f>
        <v/>
      </c>
      <c r="L71" s="5">
        <f>IFERROR(INDEX('5 Inter'!$D$7:$D$16,MATCH($A71,'5 Inter'!$BC$7:$BC$16,0))&amp;"","")</f>
        <v/>
      </c>
      <c r="M71" s="25">
        <f>IFERROR(INDEX('5 Inter'!$BA$7:$BA$16,MATCH($A71,'5 Inter'!$BC$7:$BC$16,0)),"")</f>
        <v/>
      </c>
    </row>
    <row r="72">
      <c r="A72" s="24" t="n">
        <v>3</v>
      </c>
      <c r="B72" s="5">
        <f>IFERROR(INDEX('3A Intra'!$D$7:$D$26,MATCH($A72,'3A Intra'!$BC$7:$BC$26,0))&amp;"","")</f>
        <v/>
      </c>
      <c r="C72" s="25">
        <f>IFERROR(INDEX('3A Intra'!$BA$7:$BA$26,MATCH($A72,'3A Intra'!$BC$7:$BC$26,0)),"")</f>
        <v/>
      </c>
      <c r="D72" s="5">
        <f>IFERROR(INDEX('3B Intra'!$D$7:$D$26,MATCH($A72,'3B Intra'!$BC$7:$BC$26,0))&amp;"","")</f>
        <v/>
      </c>
      <c r="E72" s="25">
        <f>IFERROR(INDEX('3B Intra'!$BA$7:$BA$26,MATCH($A72,'3B Intra'!$BC$7:$BC$26,0)),"")</f>
        <v/>
      </c>
      <c r="F72" s="5">
        <f>IFERROR(INDEX('3 Inter'!$D$7:$D$16,MATCH($A72,'3 Inter'!$BC$7:$BC$16,0))&amp;"","")</f>
        <v/>
      </c>
      <c r="G72" s="25">
        <f>IFERROR(INDEX('3 Inter'!$BA$7:$BA$16,MATCH($A72,'3 Inter'!$BC$7:$BC$16,0)),"")</f>
        <v/>
      </c>
      <c r="H72" s="5">
        <f>IFERROR(INDEX('5A Intra'!$D$7:$D$26,MATCH($A72,'5A Intra'!$BC$7:$BC$26,0))&amp;"","")</f>
        <v/>
      </c>
      <c r="I72" s="25">
        <f>IFERROR(INDEX('5A Intra'!$BA$7:$BA$26,MATCH($A72,'5A Intra'!$BC$7:$BC$26,0)),"")</f>
        <v/>
      </c>
      <c r="J72" s="5">
        <f>IFERROR(INDEX('5B Intra'!$D$7:$D$26,MATCH($A72,'5B Intra'!$BC$7:$BC$26,0))&amp;"","")</f>
        <v/>
      </c>
      <c r="K72" s="25">
        <f>IFERROR(INDEX('5B Intra'!$BA$7:$BA$26,MATCH($A72,'5B Intra'!$BC$7:$BC$26,0)),"")</f>
        <v/>
      </c>
      <c r="L72" s="5">
        <f>IFERROR(INDEX('5 Inter'!$D$7:$D$16,MATCH($A72,'5 Inter'!$BC$7:$BC$16,0))&amp;"","")</f>
        <v/>
      </c>
      <c r="M72" s="25">
        <f>IFERROR(INDEX('5 Inter'!$BA$7:$BA$16,MATCH($A72,'5 Inter'!$BC$7:$BC$16,0)),"")</f>
        <v/>
      </c>
    </row>
    <row r="73">
      <c r="A73" s="24" t="n">
        <v>4</v>
      </c>
      <c r="B73" s="5">
        <f>IFERROR(INDEX('3A Intra'!$D$7:$D$26,MATCH($A73,'3A Intra'!$BC$7:$BC$26,0))&amp;"","")</f>
        <v/>
      </c>
      <c r="C73" s="25">
        <f>IFERROR(INDEX('3A Intra'!$BA$7:$BA$26,MATCH($A73,'3A Intra'!$BC$7:$BC$26,0)),"")</f>
        <v/>
      </c>
      <c r="D73" s="5">
        <f>IFERROR(INDEX('3B Intra'!$D$7:$D$26,MATCH($A73,'3B Intra'!$BC$7:$BC$26,0))&amp;"","")</f>
        <v/>
      </c>
      <c r="E73" s="25">
        <f>IFERROR(INDEX('3B Intra'!$BA$7:$BA$26,MATCH($A73,'3B Intra'!$BC$7:$BC$26,0)),"")</f>
        <v/>
      </c>
      <c r="F73" s="5">
        <f>IFERROR(INDEX('3 Inter'!$D$7:$D$16,MATCH($A73,'3 Inter'!$BC$7:$BC$16,0))&amp;"","")</f>
        <v/>
      </c>
      <c r="G73" s="25">
        <f>IFERROR(INDEX('3 Inter'!$BA$7:$BA$16,MATCH($A73,'3 Inter'!$BC$7:$BC$16,0)),"")</f>
        <v/>
      </c>
      <c r="H73" s="5">
        <f>IFERROR(INDEX('5A Intra'!$D$7:$D$26,MATCH($A73,'5A Intra'!$BC$7:$BC$26,0))&amp;"","")</f>
        <v/>
      </c>
      <c r="I73" s="25">
        <f>IFERROR(INDEX('5A Intra'!$BA$7:$BA$26,MATCH($A73,'5A Intra'!$BC$7:$BC$26,0)),"")</f>
        <v/>
      </c>
      <c r="J73" s="5">
        <f>IFERROR(INDEX('5B Intra'!$D$7:$D$26,MATCH($A73,'5B Intra'!$BC$7:$BC$26,0))&amp;"","")</f>
        <v/>
      </c>
      <c r="K73" s="25">
        <f>IFERROR(INDEX('5B Intra'!$BA$7:$BA$26,MATCH($A73,'5B Intra'!$BC$7:$BC$26,0)),"")</f>
        <v/>
      </c>
      <c r="L73" s="5">
        <f>IFERROR(INDEX('5 Inter'!$D$7:$D$16,MATCH($A73,'5 Inter'!$BC$7:$BC$16,0))&amp;"","")</f>
        <v/>
      </c>
      <c r="M73" s="25">
        <f>IFERROR(INDEX('5 Inter'!$BA$7:$BA$16,MATCH($A73,'5 Inter'!$BC$7:$BC$16,0)),"")</f>
        <v/>
      </c>
    </row>
    <row r="74">
      <c r="A74" s="24" t="n">
        <v>5</v>
      </c>
      <c r="B74" s="5">
        <f>IFERROR(INDEX('3A Intra'!$D$7:$D$26,MATCH($A74,'3A Intra'!$BC$7:$BC$26,0))&amp;"","")</f>
        <v/>
      </c>
      <c r="C74" s="25">
        <f>IFERROR(INDEX('3A Intra'!$BA$7:$BA$26,MATCH($A74,'3A Intra'!$BC$7:$BC$26,0)),"")</f>
        <v/>
      </c>
      <c r="D74" s="5">
        <f>IFERROR(INDEX('3B Intra'!$D$7:$D$26,MATCH($A74,'3B Intra'!$BC$7:$BC$26,0))&amp;"","")</f>
        <v/>
      </c>
      <c r="E74" s="25">
        <f>IFERROR(INDEX('3B Intra'!$BA$7:$BA$26,MATCH($A74,'3B Intra'!$BC$7:$BC$26,0)),"")</f>
        <v/>
      </c>
      <c r="F74" s="5">
        <f>IFERROR(INDEX('3 Inter'!$D$7:$D$16,MATCH($A74,'3 Inter'!$BC$7:$BC$16,0))&amp;"","")</f>
        <v/>
      </c>
      <c r="G74" s="25">
        <f>IFERROR(INDEX('3 Inter'!$BA$7:$BA$16,MATCH($A74,'3 Inter'!$BC$7:$BC$16,0)),"")</f>
        <v/>
      </c>
      <c r="H74" s="5">
        <f>IFERROR(INDEX('5A Intra'!$D$7:$D$26,MATCH($A74,'5A Intra'!$BC$7:$BC$26,0))&amp;"","")</f>
        <v/>
      </c>
      <c r="I74" s="25">
        <f>IFERROR(INDEX('5A Intra'!$BA$7:$BA$26,MATCH($A74,'5A Intra'!$BC$7:$BC$26,0)),"")</f>
        <v/>
      </c>
      <c r="J74" s="5">
        <f>IFERROR(INDEX('5B Intra'!$D$7:$D$26,MATCH($A74,'5B Intra'!$BC$7:$BC$26,0))&amp;"","")</f>
        <v/>
      </c>
      <c r="K74" s="25">
        <f>IFERROR(INDEX('5B Intra'!$BA$7:$BA$26,MATCH($A74,'5B Intra'!$BC$7:$BC$26,0)),"")</f>
        <v/>
      </c>
      <c r="L74" s="5">
        <f>IFERROR(INDEX('5 Inter'!$D$7:$D$16,MATCH($A74,'5 Inter'!$BC$7:$BC$16,0))&amp;"","")</f>
        <v/>
      </c>
      <c r="M74" s="25">
        <f>IFERROR(INDEX('5 Inter'!$BA$7:$BA$16,MATCH($A74,'5 Inter'!$BC$7:$BC$16,0)),"")</f>
        <v/>
      </c>
    </row>
  </sheetData>
  <sheetProtection selectLockedCells="0" selectUnlockedCells="0" sheet="1" objects="0" insertRows="1" insertHyperlinks="1" autoFilter="1" scenarios="0" formatColumns="0" deleteColumns="1" insertColumns="1" pivotTables="1" deleteRows="1" formatCells="1" formatRows="0" sort="1"/>
  <mergeCells count="14">
    <mergeCell ref="H68:I68"/>
    <mergeCell ref="A34:E34"/>
    <mergeCell ref="B68:C68"/>
    <mergeCell ref="J68:K68"/>
    <mergeCell ref="A24:O24"/>
    <mergeCell ref="A2:O2"/>
    <mergeCell ref="D68:E68"/>
    <mergeCell ref="L68:M68"/>
    <mergeCell ref="A67:M67"/>
    <mergeCell ref="F68:G68"/>
    <mergeCell ref="A14:O14"/>
    <mergeCell ref="A45:K45"/>
    <mergeCell ref="A1:O1"/>
    <mergeCell ref="A4:O4"/>
  </mergeCells>
  <conditionalFormatting sqref="C26:O32">
    <cfRule type="expression" priority="1" dxfId="0">
      <formula>AND(ISNUMBER(C26),C26=3)</formula>
    </cfRule>
    <cfRule type="expression" priority="2" dxfId="1">
      <formula>AND(ISNUMBER(C26),C26=2)</formula>
    </cfRule>
    <cfRule type="expression" priority="3" dxfId="2">
      <formula>AND(ISNUMBER(C26),C26=1)</formula>
    </cfRule>
    <cfRule type="expression" priority="4" dxfId="3">
      <formula>AND(ISNUMBER(C26),C26=0)</formula>
    </cfRule>
  </conditionalFormatting>
  <conditionalFormatting sqref="J47:J63">
    <cfRule type="expression" priority="5" dxfId="0">
      <formula>AND(ISNUMBER(J47),J47&gt;=Mapping!$C$12)</formula>
    </cfRule>
    <cfRule type="expression" priority="6" dxfId="2">
      <formula>AND(ISNUMBER(J47),J47&lt;Mapping!$C$12)</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C00000"/>
    <outlinePr summaryBelow="1" summaryRight="1"/>
    <pageSetUpPr fitToPage="1"/>
  </sheetPr>
  <dimension ref="A1:J2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0" customWidth="1" min="3" max="3"/>
    <col width="8" customWidth="1" min="4" max="4"/>
    <col width="34" customWidth="1" min="5" max="5"/>
    <col width="28" customWidth="1" min="6" max="6"/>
    <col width="26" customWidth="1" min="7" max="7"/>
    <col width="24" customWidth="1" min="8" max="8"/>
    <col width="13" customWidth="1" min="9" max="9"/>
    <col width="26" customWidth="1" min="10" max="10"/>
  </cols>
  <sheetData>
    <row r="1">
      <c r="A1" s="26">
        <f>Mapping!$C$3&amp;" — Evaluation Rubric (for Evaluators)"</f>
        <v/>
      </c>
    </row>
    <row r="2">
      <c r="A2" s="27" t="inlineStr">
        <is>
          <t>Score each criterion out of its Max Marks (decimals allowed). Use the descriptors to place the team in a band, then pick a mark inside that band's range.</t>
        </is>
      </c>
    </row>
    <row r="3" ht="32" customHeight="1">
      <c r="A3" s="9" t="inlineStr">
        <is>
          <t>#</t>
        </is>
      </c>
      <c r="B3" s="9" t="inlineStr">
        <is>
          <t>Criterion</t>
        </is>
      </c>
      <c r="C3" s="9" t="inlineStr">
        <is>
          <t>Short Name</t>
        </is>
      </c>
      <c r="D3" s="9" t="inlineStr">
        <is>
          <t>Max Marks</t>
        </is>
      </c>
      <c r="E3" s="9" t="inlineStr">
        <is>
          <t>Excellent
(90–100%)</t>
        </is>
      </c>
      <c r="F3" s="9" t="inlineStr">
        <is>
          <t>Good
(70–89%)</t>
        </is>
      </c>
      <c r="G3" s="9" t="inlineStr">
        <is>
          <t>Satisfactory
(50–69%)</t>
        </is>
      </c>
      <c r="H3" s="9" t="inlineStr">
        <is>
          <t>Needs Improvement
(&lt;50%)</t>
        </is>
      </c>
      <c r="I3" s="9" t="inlineStr">
        <is>
          <t>Mark bands (auto)</t>
        </is>
      </c>
      <c r="J3" s="9" t="inlineStr">
        <is>
          <t>Mapped PO / PSO (auto, correlation)</t>
        </is>
      </c>
    </row>
    <row r="4" ht="64" customHeight="1">
      <c r="A4" s="28" t="n">
        <v>1</v>
      </c>
      <c r="B4" s="6" t="inlineStr">
        <is>
          <t>Problem Identification &amp; SDG Relevance</t>
        </is>
      </c>
      <c r="C4" s="6" t="inlineStr">
        <is>
          <t>C1 Problem &amp; SDG</t>
        </is>
      </c>
      <c r="D4" s="29" t="n">
        <v>10</v>
      </c>
      <c r="E4" s="6" t="inlineStr">
        <is>
          <t>Real, well-scoped problem explicitly linked to specific SDG targets (e.g., 6.1, 13.1); stakeholders and measurable impact indicators identified with evidence.</t>
        </is>
      </c>
      <c r="F4" s="6" t="inlineStr">
        <is>
          <t>Relevant problem mapped to an SDG goal; scope and stakeholders mostly clear; limited supporting evidence.</t>
        </is>
      </c>
      <c r="G4" s="6" t="inlineStr">
        <is>
          <t>Problem stated in general terms; SDG link is broad or superficial; scope vague.</t>
        </is>
      </c>
      <c r="H4" s="6" t="inlineStr">
        <is>
          <t>Problem unclear or trivial; no credible SDG connection.</t>
        </is>
      </c>
      <c r="I4" s="30">
        <f>"E: "&amp;IF(ROUNDUP(0.9*D4,0)&gt;=D4,D4&amp;"",ROUNDUP(0.9*D4,0)&amp;"–"&amp;D4)&amp;CHAR(10)&amp;"G: "&amp;IF(ROUNDUP(0.7*D4,0)&gt;=(ROUNDUP(0.9*D4,0)-1),(ROUNDUP(0.9*D4,0)-1)&amp;"",ROUNDUP(0.7*D4,0)&amp;"–"&amp;(ROUNDUP(0.9*D4,0)-1))&amp;CHAR(10)&amp;"S: "&amp;IF(ROUNDUP(0.5*D4,0)&gt;=(ROUNDUP(0.7*D4,0)-1),(ROUNDUP(0.7*D4,0)-1)&amp;"",ROUNDUP(0.5*D4,0)&amp;"–"&amp;(ROUNDUP(0.7*D4,0)-1))&amp;CHAR(10)&amp;"NI: "&amp;IF(0&gt;=(ROUNDUP(0.5*D4,0)-1),(ROUNDUP(0.5*D4,0)-1)&amp;"",0&amp;"–"&amp;(ROUNDUP(0.5*D4,0)-1))</f>
        <v/>
      </c>
      <c r="J4" s="30">
        <f>IF(N(Mapping!D15)&gt;0,"PO1("&amp;Mapping!D15&amp;") ","")&amp;IF(N(Mapping!E15)&gt;0,"PO2("&amp;Mapping!E15&amp;") ","")&amp;IF(N(Mapping!F15)&gt;0,"PO3("&amp;Mapping!F15&amp;") ","")&amp;IF(N(Mapping!G15)&gt;0,"PO4("&amp;Mapping!G15&amp;") ","")&amp;IF(N(Mapping!H15)&gt;0,"PO5("&amp;Mapping!H15&amp;") ","")&amp;IF(N(Mapping!I15)&gt;0,"PO6("&amp;Mapping!I15&amp;") ","")&amp;IF(N(Mapping!J15)&gt;0,"PO7("&amp;Mapping!J15&amp;") ","")&amp;IF(N(Mapping!K15)&gt;0,"PO8("&amp;Mapping!K15&amp;") ","")&amp;IF(N(Mapping!L15)&gt;0,"PO9("&amp;Mapping!L15&amp;") ","")&amp;IF(N(Mapping!M15)&gt;0,"PO10("&amp;Mapping!M15&amp;") ","")&amp;IF(N(Mapping!N15)&gt;0,"PO11("&amp;Mapping!N15&amp;") ","")&amp;IF(N(Mapping!O15)&gt;0,"PSO1("&amp;Mapping!O15&amp;") ","")&amp;IF(N(Mapping!P15)&gt;0,"PSO2("&amp;Mapping!P15&amp;") ","")</f>
        <v/>
      </c>
    </row>
    <row r="5" ht="64" customHeight="1">
      <c r="A5" s="28" t="n">
        <v>2</v>
      </c>
      <c r="B5" s="6" t="inlineStr">
        <is>
          <t>Research &amp; Analysis of Existing Solutions</t>
        </is>
      </c>
      <c r="C5" s="6" t="inlineStr">
        <is>
          <t>C2 Research &amp; Analysis</t>
        </is>
      </c>
      <c r="D5" s="29" t="n">
        <v>10</v>
      </c>
      <c r="E5" s="6" t="inlineStr">
        <is>
          <t>Thorough review of existing solutions, data and literature; gaps clearly articulated and used to justify the proposal.</t>
        </is>
      </c>
      <c r="F5" s="6" t="inlineStr">
        <is>
          <t>Reviews key existing solutions and identifies some gaps.</t>
        </is>
      </c>
      <c r="G5" s="6" t="inlineStr">
        <is>
          <t>Limited survey; gaps asserted without evidence.</t>
        </is>
      </c>
      <c r="H5" s="6" t="inlineStr">
        <is>
          <t>No analysis of existing work or data.</t>
        </is>
      </c>
      <c r="I5" s="30">
        <f>"E: "&amp;IF(ROUNDUP(0.9*D5,0)&gt;=D5,D5&amp;"",ROUNDUP(0.9*D5,0)&amp;"–"&amp;D5)&amp;CHAR(10)&amp;"G: "&amp;IF(ROUNDUP(0.7*D5,0)&gt;=(ROUNDUP(0.9*D5,0)-1),(ROUNDUP(0.9*D5,0)-1)&amp;"",ROUNDUP(0.7*D5,0)&amp;"–"&amp;(ROUNDUP(0.9*D5,0)-1))&amp;CHAR(10)&amp;"S: "&amp;IF(ROUNDUP(0.5*D5,0)&gt;=(ROUNDUP(0.7*D5,0)-1),(ROUNDUP(0.7*D5,0)-1)&amp;"",ROUNDUP(0.5*D5,0)&amp;"–"&amp;(ROUNDUP(0.7*D5,0)-1))&amp;CHAR(10)&amp;"NI: "&amp;IF(0&gt;=(ROUNDUP(0.5*D5,0)-1),(ROUNDUP(0.5*D5,0)-1)&amp;"",0&amp;"–"&amp;(ROUNDUP(0.5*D5,0)-1))</f>
        <v/>
      </c>
      <c r="J5" s="30">
        <f>IF(N(Mapping!D16)&gt;0,"PO1("&amp;Mapping!D16&amp;") ","")&amp;IF(N(Mapping!E16)&gt;0,"PO2("&amp;Mapping!E16&amp;") ","")&amp;IF(N(Mapping!F16)&gt;0,"PO3("&amp;Mapping!F16&amp;") ","")&amp;IF(N(Mapping!G16)&gt;0,"PO4("&amp;Mapping!G16&amp;") ","")&amp;IF(N(Mapping!H16)&gt;0,"PO5("&amp;Mapping!H16&amp;") ","")&amp;IF(N(Mapping!I16)&gt;0,"PO6("&amp;Mapping!I16&amp;") ","")&amp;IF(N(Mapping!J16)&gt;0,"PO7("&amp;Mapping!J16&amp;") ","")&amp;IF(N(Mapping!K16)&gt;0,"PO8("&amp;Mapping!K16&amp;") ","")&amp;IF(N(Mapping!L16)&gt;0,"PO9("&amp;Mapping!L16&amp;") ","")&amp;IF(N(Mapping!M16)&gt;0,"PO10("&amp;Mapping!M16&amp;") ","")&amp;IF(N(Mapping!N16)&gt;0,"PO11("&amp;Mapping!N16&amp;") ","")&amp;IF(N(Mapping!O16)&gt;0,"PSO1("&amp;Mapping!O16&amp;") ","")&amp;IF(N(Mapping!P16)&gt;0,"PSO2("&amp;Mapping!P16&amp;") ","")</f>
        <v/>
      </c>
    </row>
    <row r="6" ht="64" customHeight="1">
      <c r="A6" s="28" t="n">
        <v>3</v>
      </c>
      <c r="B6" s="6" t="inlineStr">
        <is>
          <t>Solution Design &amp; Innovation</t>
        </is>
      </c>
      <c r="C6" s="6" t="inlineStr">
        <is>
          <t>C3 Design &amp; Innovation</t>
        </is>
      </c>
      <c r="D6" s="29" t="n">
        <v>15</v>
      </c>
      <c r="E6" s="6" t="inlineStr">
        <is>
          <t>Original, well-architected solution (architecture/flow diagrams, modules, data flow); clearly innovative beyond existing approaches.</t>
        </is>
      </c>
      <c r="F6" s="6" t="inlineStr">
        <is>
          <t>Sound design with some novelty; architecture mostly complete.</t>
        </is>
      </c>
      <c r="G6" s="6" t="inlineStr">
        <is>
          <t>Conventional design with gaps; minimal innovation.</t>
        </is>
      </c>
      <c r="H6" s="6" t="inlineStr">
        <is>
          <t>No coherent design, or a copy of an existing solution.</t>
        </is>
      </c>
      <c r="I6" s="30">
        <f>"E: "&amp;IF(ROUNDUP(0.9*D6,0)&gt;=D6,D6&amp;"",ROUNDUP(0.9*D6,0)&amp;"–"&amp;D6)&amp;CHAR(10)&amp;"G: "&amp;IF(ROUNDUP(0.7*D6,0)&gt;=(ROUNDUP(0.9*D6,0)-1),(ROUNDUP(0.9*D6,0)-1)&amp;"",ROUNDUP(0.7*D6,0)&amp;"–"&amp;(ROUNDUP(0.9*D6,0)-1))&amp;CHAR(10)&amp;"S: "&amp;IF(ROUNDUP(0.5*D6,0)&gt;=(ROUNDUP(0.7*D6,0)-1),(ROUNDUP(0.7*D6,0)-1)&amp;"",ROUNDUP(0.5*D6,0)&amp;"–"&amp;(ROUNDUP(0.7*D6,0)-1))&amp;CHAR(10)&amp;"NI: "&amp;IF(0&gt;=(ROUNDUP(0.5*D6,0)-1),(ROUNDUP(0.5*D6,0)-1)&amp;"",0&amp;"–"&amp;(ROUNDUP(0.5*D6,0)-1))</f>
        <v/>
      </c>
      <c r="J6" s="30">
        <f>IF(N(Mapping!D17)&gt;0,"PO1("&amp;Mapping!D17&amp;") ","")&amp;IF(N(Mapping!E17)&gt;0,"PO2("&amp;Mapping!E17&amp;") ","")&amp;IF(N(Mapping!F17)&gt;0,"PO3("&amp;Mapping!F17&amp;") ","")&amp;IF(N(Mapping!G17)&gt;0,"PO4("&amp;Mapping!G17&amp;") ","")&amp;IF(N(Mapping!H17)&gt;0,"PO5("&amp;Mapping!H17&amp;") ","")&amp;IF(N(Mapping!I17)&gt;0,"PO6("&amp;Mapping!I17&amp;") ","")&amp;IF(N(Mapping!J17)&gt;0,"PO7("&amp;Mapping!J17&amp;") ","")&amp;IF(N(Mapping!K17)&gt;0,"PO8("&amp;Mapping!K17&amp;") ","")&amp;IF(N(Mapping!L17)&gt;0,"PO9("&amp;Mapping!L17&amp;") ","")&amp;IF(N(Mapping!M17)&gt;0,"PO10("&amp;Mapping!M17&amp;") ","")&amp;IF(N(Mapping!N17)&gt;0,"PO11("&amp;Mapping!N17&amp;") ","")&amp;IF(N(Mapping!O17)&gt;0,"PSO1("&amp;Mapping!O17&amp;") ","")&amp;IF(N(Mapping!P17)&gt;0,"PSO2("&amp;Mapping!P17&amp;") ","")</f>
        <v/>
      </c>
    </row>
    <row r="7" ht="64" customHeight="1">
      <c r="A7" s="28" t="n">
        <v>4</v>
      </c>
      <c r="B7" s="6" t="inlineStr">
        <is>
          <t>Technical Implementation &amp; Tool Usage</t>
        </is>
      </c>
      <c r="C7" s="6" t="inlineStr">
        <is>
          <t>C4 Implementation</t>
        </is>
      </c>
      <c r="D7" s="29" t="n">
        <v>20</v>
      </c>
      <c r="E7" s="6" t="inlineStr">
        <is>
          <t>Working prototype demonstrates core features end-to-end; modern tools/frameworks used effectively; clean, version-controlled code.</t>
        </is>
      </c>
      <c r="F7" s="6" t="inlineStr">
        <is>
          <t>Prototype works for most core features; appropriate tools used.</t>
        </is>
      </c>
      <c r="G7" s="6" t="inlineStr">
        <is>
          <t>Partial prototype or mock-up with limited functionality.</t>
        </is>
      </c>
      <c r="H7" s="6" t="inlineStr">
        <is>
          <t>No working implementation.</t>
        </is>
      </c>
      <c r="I7" s="30">
        <f>"E: "&amp;IF(ROUNDUP(0.9*D7,0)&gt;=D7,D7&amp;"",ROUNDUP(0.9*D7,0)&amp;"–"&amp;D7)&amp;CHAR(10)&amp;"G: "&amp;IF(ROUNDUP(0.7*D7,0)&gt;=(ROUNDUP(0.9*D7,0)-1),(ROUNDUP(0.9*D7,0)-1)&amp;"",ROUNDUP(0.7*D7,0)&amp;"–"&amp;(ROUNDUP(0.9*D7,0)-1))&amp;CHAR(10)&amp;"S: "&amp;IF(ROUNDUP(0.5*D7,0)&gt;=(ROUNDUP(0.7*D7,0)-1),(ROUNDUP(0.7*D7,0)-1)&amp;"",ROUNDUP(0.5*D7,0)&amp;"–"&amp;(ROUNDUP(0.7*D7,0)-1))&amp;CHAR(10)&amp;"NI: "&amp;IF(0&gt;=(ROUNDUP(0.5*D7,0)-1),(ROUNDUP(0.5*D7,0)-1)&amp;"",0&amp;"–"&amp;(ROUNDUP(0.5*D7,0)-1))</f>
        <v/>
      </c>
      <c r="J7" s="30">
        <f>IF(N(Mapping!D18)&gt;0,"PO1("&amp;Mapping!D18&amp;") ","")&amp;IF(N(Mapping!E18)&gt;0,"PO2("&amp;Mapping!E18&amp;") ","")&amp;IF(N(Mapping!F18)&gt;0,"PO3("&amp;Mapping!F18&amp;") ","")&amp;IF(N(Mapping!G18)&gt;0,"PO4("&amp;Mapping!G18&amp;") ","")&amp;IF(N(Mapping!H18)&gt;0,"PO5("&amp;Mapping!H18&amp;") ","")&amp;IF(N(Mapping!I18)&gt;0,"PO6("&amp;Mapping!I18&amp;") ","")&amp;IF(N(Mapping!J18)&gt;0,"PO7("&amp;Mapping!J18&amp;") ","")&amp;IF(N(Mapping!K18)&gt;0,"PO8("&amp;Mapping!K18&amp;") ","")&amp;IF(N(Mapping!L18)&gt;0,"PO9("&amp;Mapping!L18&amp;") ","")&amp;IF(N(Mapping!M18)&gt;0,"PO10("&amp;Mapping!M18&amp;") ","")&amp;IF(N(Mapping!N18)&gt;0,"PO11("&amp;Mapping!N18&amp;") ","")&amp;IF(N(Mapping!O18)&gt;0,"PSO1("&amp;Mapping!O18&amp;") ","")&amp;IF(N(Mapping!P18)&gt;0,"PSO2("&amp;Mapping!P18&amp;") ","")</f>
        <v/>
      </c>
    </row>
    <row r="8" ht="64" customHeight="1">
      <c r="A8" s="28" t="n">
        <v>5</v>
      </c>
      <c r="B8" s="6" t="inlineStr">
        <is>
          <t>Intelligent &amp; Smart System Features (AI/ML, IoT, Analytics)</t>
        </is>
      </c>
      <c r="C8" s="6" t="inlineStr">
        <is>
          <t>C5 Intelligent Features</t>
        </is>
      </c>
      <c r="D8" s="29" t="n">
        <v>10</v>
      </c>
      <c r="E8" s="6" t="inlineStr">
        <is>
          <t>Meaningful use of AI/ML, data analytics, IoT or automation with justified technology/model choice and measured performance.</t>
        </is>
      </c>
      <c r="F8" s="6" t="inlineStr">
        <is>
          <t>Intelligent component present and working; limited evaluation.</t>
        </is>
      </c>
      <c r="G8" s="6" t="inlineStr">
        <is>
          <t>Intelligent feature only proposed or rudimentary (hard-coded rules).</t>
        </is>
      </c>
      <c r="H8" s="6" t="inlineStr">
        <is>
          <t>No intelligent or data-driven element.</t>
        </is>
      </c>
      <c r="I8" s="30">
        <f>"E: "&amp;IF(ROUNDUP(0.9*D8,0)&gt;=D8,D8&amp;"",ROUNDUP(0.9*D8,0)&amp;"–"&amp;D8)&amp;CHAR(10)&amp;"G: "&amp;IF(ROUNDUP(0.7*D8,0)&gt;=(ROUNDUP(0.9*D8,0)-1),(ROUNDUP(0.9*D8,0)-1)&amp;"",ROUNDUP(0.7*D8,0)&amp;"–"&amp;(ROUNDUP(0.9*D8,0)-1))&amp;CHAR(10)&amp;"S: "&amp;IF(ROUNDUP(0.5*D8,0)&gt;=(ROUNDUP(0.7*D8,0)-1),(ROUNDUP(0.7*D8,0)-1)&amp;"",ROUNDUP(0.5*D8,0)&amp;"–"&amp;(ROUNDUP(0.7*D8,0)-1))&amp;CHAR(10)&amp;"NI: "&amp;IF(0&gt;=(ROUNDUP(0.5*D8,0)-1),(ROUNDUP(0.5*D8,0)-1)&amp;"",0&amp;"–"&amp;(ROUNDUP(0.5*D8,0)-1))</f>
        <v/>
      </c>
      <c r="J8" s="30">
        <f>IF(N(Mapping!D19)&gt;0,"PO1("&amp;Mapping!D19&amp;") ","")&amp;IF(N(Mapping!E19)&gt;0,"PO2("&amp;Mapping!E19&amp;") ","")&amp;IF(N(Mapping!F19)&gt;0,"PO3("&amp;Mapping!F19&amp;") ","")&amp;IF(N(Mapping!G19)&gt;0,"PO4("&amp;Mapping!G19&amp;") ","")&amp;IF(N(Mapping!H19)&gt;0,"PO5("&amp;Mapping!H19&amp;") ","")&amp;IF(N(Mapping!I19)&gt;0,"PO6("&amp;Mapping!I19&amp;") ","")&amp;IF(N(Mapping!J19)&gt;0,"PO7("&amp;Mapping!J19&amp;") ","")&amp;IF(N(Mapping!K19)&gt;0,"PO8("&amp;Mapping!K19&amp;") ","")&amp;IF(N(Mapping!L19)&gt;0,"PO9("&amp;Mapping!L19&amp;") ","")&amp;IF(N(Mapping!M19)&gt;0,"PO10("&amp;Mapping!M19&amp;") ","")&amp;IF(N(Mapping!N19)&gt;0,"PO11("&amp;Mapping!N19&amp;") ","")&amp;IF(N(Mapping!O19)&gt;0,"PSO1("&amp;Mapping!O19&amp;") ","")&amp;IF(N(Mapping!P19)&gt;0,"PSO2("&amp;Mapping!P19&amp;") ","")</f>
        <v/>
      </c>
    </row>
    <row r="9" ht="64" customHeight="1">
      <c r="A9" s="28" t="n">
        <v>6</v>
      </c>
      <c r="B9" s="6" t="inlineStr">
        <is>
          <t>Sustainability, Societal Impact &amp; Ethics</t>
        </is>
      </c>
      <c r="C9" s="6" t="inlineStr">
        <is>
          <t>C6 Impact &amp; Ethics</t>
        </is>
      </c>
      <c r="D9" s="29" t="n">
        <v>10</v>
      </c>
      <c r="E9" s="6" t="inlineStr">
        <is>
          <t>Quantified social/environmental impact; addresses privacy, safety, inclusivity, bias and environmental footprint.</t>
        </is>
      </c>
      <c r="F9" s="6" t="inlineStr">
        <is>
          <t>Impact and ethical aspects discussed with some specifics.</t>
        </is>
      </c>
      <c r="G9" s="6" t="inlineStr">
        <is>
          <t>Impact claimed in general terms; ethics mentioned only briefly.</t>
        </is>
      </c>
      <c r="H9" s="6" t="inlineStr">
        <is>
          <t>Impact and ethical considerations ignored.</t>
        </is>
      </c>
      <c r="I9" s="30">
        <f>"E: "&amp;IF(ROUNDUP(0.9*D9,0)&gt;=D9,D9&amp;"",ROUNDUP(0.9*D9,0)&amp;"–"&amp;D9)&amp;CHAR(10)&amp;"G: "&amp;IF(ROUNDUP(0.7*D9,0)&gt;=(ROUNDUP(0.9*D9,0)-1),(ROUNDUP(0.9*D9,0)-1)&amp;"",ROUNDUP(0.7*D9,0)&amp;"–"&amp;(ROUNDUP(0.9*D9,0)-1))&amp;CHAR(10)&amp;"S: "&amp;IF(ROUNDUP(0.5*D9,0)&gt;=(ROUNDUP(0.7*D9,0)-1),(ROUNDUP(0.7*D9,0)-1)&amp;"",ROUNDUP(0.5*D9,0)&amp;"–"&amp;(ROUNDUP(0.7*D9,0)-1))&amp;CHAR(10)&amp;"NI: "&amp;IF(0&gt;=(ROUNDUP(0.5*D9,0)-1),(ROUNDUP(0.5*D9,0)-1)&amp;"",0&amp;"–"&amp;(ROUNDUP(0.5*D9,0)-1))</f>
        <v/>
      </c>
      <c r="J9" s="30">
        <f>IF(N(Mapping!D20)&gt;0,"PO1("&amp;Mapping!D20&amp;") ","")&amp;IF(N(Mapping!E20)&gt;0,"PO2("&amp;Mapping!E20&amp;") ","")&amp;IF(N(Mapping!F20)&gt;0,"PO3("&amp;Mapping!F20&amp;") ","")&amp;IF(N(Mapping!G20)&gt;0,"PO4("&amp;Mapping!G20&amp;") ","")&amp;IF(N(Mapping!H20)&gt;0,"PO5("&amp;Mapping!H20&amp;") ","")&amp;IF(N(Mapping!I20)&gt;0,"PO6("&amp;Mapping!I20&amp;") ","")&amp;IF(N(Mapping!J20)&gt;0,"PO7("&amp;Mapping!J20&amp;") ","")&amp;IF(N(Mapping!K20)&gt;0,"PO8("&amp;Mapping!K20&amp;") ","")&amp;IF(N(Mapping!L20)&gt;0,"PO9("&amp;Mapping!L20&amp;") ","")&amp;IF(N(Mapping!M20)&gt;0,"PO10("&amp;Mapping!M20&amp;") ","")&amp;IF(N(Mapping!N20)&gt;0,"PO11("&amp;Mapping!N20&amp;") ","")&amp;IF(N(Mapping!O20)&gt;0,"PSO1("&amp;Mapping!O20&amp;") ","")&amp;IF(N(Mapping!P20)&gt;0,"PSO2("&amp;Mapping!P20&amp;") ","")</f>
        <v/>
      </c>
    </row>
    <row r="10" ht="64" customHeight="1">
      <c r="A10" s="28" t="n">
        <v>7</v>
      </c>
      <c r="B10" s="6" t="inlineStr">
        <is>
          <t>Feasibility, Scalability &amp; Cost</t>
        </is>
      </c>
      <c r="C10" s="6" t="inlineStr">
        <is>
          <t>C7 Feasibility &amp; Cost</t>
        </is>
      </c>
      <c r="D10" s="29" t="n">
        <v>10</v>
      </c>
      <c r="E10" s="6" t="inlineStr">
        <is>
          <t>Realistic deployment plan, cost estimate or business model, scalability path and risks identified.</t>
        </is>
      </c>
      <c r="F10" s="6" t="inlineStr">
        <is>
          <t>Feasible, with rough costing and some scalability considerations.</t>
        </is>
      </c>
      <c r="G10" s="6" t="inlineStr">
        <is>
          <t>Feasibility asserted; costing or scaling not addressed.</t>
        </is>
      </c>
      <c r="H10" s="6" t="inlineStr">
        <is>
          <t>Infeasible, or no deployment thinking.</t>
        </is>
      </c>
      <c r="I10" s="30">
        <f>"E: "&amp;IF(ROUNDUP(0.9*D10,0)&gt;=D10,D10&amp;"",ROUNDUP(0.9*D10,0)&amp;"–"&amp;D10)&amp;CHAR(10)&amp;"G: "&amp;IF(ROUNDUP(0.7*D10,0)&gt;=(ROUNDUP(0.9*D10,0)-1),(ROUNDUP(0.9*D10,0)-1)&amp;"",ROUNDUP(0.7*D10,0)&amp;"–"&amp;(ROUNDUP(0.9*D10,0)-1))&amp;CHAR(10)&amp;"S: "&amp;IF(ROUNDUP(0.5*D10,0)&gt;=(ROUNDUP(0.7*D10,0)-1),(ROUNDUP(0.7*D10,0)-1)&amp;"",ROUNDUP(0.5*D10,0)&amp;"–"&amp;(ROUNDUP(0.7*D10,0)-1))&amp;CHAR(10)&amp;"NI: "&amp;IF(0&gt;=(ROUNDUP(0.5*D10,0)-1),(ROUNDUP(0.5*D10,0)-1)&amp;"",0&amp;"–"&amp;(ROUNDUP(0.5*D10,0)-1))</f>
        <v/>
      </c>
      <c r="J10" s="30">
        <f>IF(N(Mapping!D21)&gt;0,"PO1("&amp;Mapping!D21&amp;") ","")&amp;IF(N(Mapping!E21)&gt;0,"PO2("&amp;Mapping!E21&amp;") ","")&amp;IF(N(Mapping!F21)&gt;0,"PO3("&amp;Mapping!F21&amp;") ","")&amp;IF(N(Mapping!G21)&gt;0,"PO4("&amp;Mapping!G21&amp;") ","")&amp;IF(N(Mapping!H21)&gt;0,"PO5("&amp;Mapping!H21&amp;") ","")&amp;IF(N(Mapping!I21)&gt;0,"PO6("&amp;Mapping!I21&amp;") ","")&amp;IF(N(Mapping!J21)&gt;0,"PO7("&amp;Mapping!J21&amp;") ","")&amp;IF(N(Mapping!K21)&gt;0,"PO8("&amp;Mapping!K21&amp;") ","")&amp;IF(N(Mapping!L21)&gt;0,"PO9("&amp;Mapping!L21&amp;") ","")&amp;IF(N(Mapping!M21)&gt;0,"PO10("&amp;Mapping!M21&amp;") ","")&amp;IF(N(Mapping!N21)&gt;0,"PO11("&amp;Mapping!N21&amp;") ","")&amp;IF(N(Mapping!O21)&gt;0,"PSO1("&amp;Mapping!O21&amp;") ","")&amp;IF(N(Mapping!P21)&gt;0,"PSO2("&amp;Mapping!P21&amp;") ","")</f>
        <v/>
      </c>
    </row>
    <row r="11" ht="64" customHeight="1">
      <c r="A11" s="28" t="n">
        <v>8</v>
      </c>
      <c r="B11" s="6" t="inlineStr">
        <is>
          <t>Teamwork &amp; Project Management</t>
        </is>
      </c>
      <c r="C11" s="6" t="inlineStr">
        <is>
          <t>C8 Teamwork</t>
        </is>
      </c>
      <c r="D11" s="29" t="n">
        <v>5</v>
      </c>
      <c r="E11" s="6" t="inlineStr">
        <is>
          <t>Clear roles and balanced contribution; planned timeline/task tracking evident; every member answers confidently.</t>
        </is>
      </c>
      <c r="F11" s="6" t="inlineStr">
        <is>
          <t>Roles defined; most members contribute.</t>
        </is>
      </c>
      <c r="G11" s="6" t="inlineStr">
        <is>
          <t>Uneven contribution; little evidence of planning.</t>
        </is>
      </c>
      <c r="H11" s="6" t="inlineStr">
        <is>
          <t>One or two members did most of the work; no planning.</t>
        </is>
      </c>
      <c r="I11" s="30">
        <f>"E: "&amp;IF(ROUNDUP(0.9*D11,0)&gt;=D11,D11&amp;"",ROUNDUP(0.9*D11,0)&amp;"–"&amp;D11)&amp;CHAR(10)&amp;"G: "&amp;IF(ROUNDUP(0.7*D11,0)&gt;=(ROUNDUP(0.9*D11,0)-1),(ROUNDUP(0.9*D11,0)-1)&amp;"",ROUNDUP(0.7*D11,0)&amp;"–"&amp;(ROUNDUP(0.9*D11,0)-1))&amp;CHAR(10)&amp;"S: "&amp;IF(ROUNDUP(0.5*D11,0)&gt;=(ROUNDUP(0.7*D11,0)-1),(ROUNDUP(0.7*D11,0)-1)&amp;"",ROUNDUP(0.5*D11,0)&amp;"–"&amp;(ROUNDUP(0.7*D11,0)-1))&amp;CHAR(10)&amp;"NI: "&amp;IF(0&gt;=(ROUNDUP(0.5*D11,0)-1),(ROUNDUP(0.5*D11,0)-1)&amp;"",0&amp;"–"&amp;(ROUNDUP(0.5*D11,0)-1))</f>
        <v/>
      </c>
      <c r="J11" s="30">
        <f>IF(N(Mapping!D22)&gt;0,"PO1("&amp;Mapping!D22&amp;") ","")&amp;IF(N(Mapping!E22)&gt;0,"PO2("&amp;Mapping!E22&amp;") ","")&amp;IF(N(Mapping!F22)&gt;0,"PO3("&amp;Mapping!F22&amp;") ","")&amp;IF(N(Mapping!G22)&gt;0,"PO4("&amp;Mapping!G22&amp;") ","")&amp;IF(N(Mapping!H22)&gt;0,"PO5("&amp;Mapping!H22&amp;") ","")&amp;IF(N(Mapping!I22)&gt;0,"PO6("&amp;Mapping!I22&amp;") ","")&amp;IF(N(Mapping!J22)&gt;0,"PO7("&amp;Mapping!J22&amp;") ","")&amp;IF(N(Mapping!K22)&gt;0,"PO8("&amp;Mapping!K22&amp;") ","")&amp;IF(N(Mapping!L22)&gt;0,"PO9("&amp;Mapping!L22&amp;") ","")&amp;IF(N(Mapping!M22)&gt;0,"PO10("&amp;Mapping!M22&amp;") ","")&amp;IF(N(Mapping!N22)&gt;0,"PO11("&amp;Mapping!N22&amp;") ","")&amp;IF(N(Mapping!O22)&gt;0,"PSO1("&amp;Mapping!O22&amp;") ","")&amp;IF(N(Mapping!P22)&gt;0,"PSO2("&amp;Mapping!P22&amp;") ","")</f>
        <v/>
      </c>
    </row>
    <row r="12" ht="64" customHeight="1">
      <c r="A12" s="28" t="n">
        <v>9</v>
      </c>
      <c r="B12" s="6" t="inlineStr">
        <is>
          <t>Presentation, Demo &amp; Q&amp;A</t>
        </is>
      </c>
      <c r="C12" s="6" t="inlineStr">
        <is>
          <t>C9 Presentation &amp; Q&amp;A</t>
        </is>
      </c>
      <c r="D12" s="29" t="n">
        <v>10</v>
      </c>
      <c r="E12" s="6" t="inlineStr">
        <is>
          <t>Clear, time-bound pitch; compelling live demo; accurate, confident answers to technical questions.</t>
        </is>
      </c>
      <c r="F12" s="6" t="inlineStr">
        <is>
          <t>Clear presentation and demo; answers most questions.</t>
        </is>
      </c>
      <c r="G12" s="6" t="inlineStr">
        <is>
          <t>Presentation unclear or over time; weak answers.</t>
        </is>
      </c>
      <c r="H12" s="6" t="inlineStr">
        <is>
          <t>Disorganised; unable to answer questions.</t>
        </is>
      </c>
      <c r="I12" s="30">
        <f>"E: "&amp;IF(ROUNDUP(0.9*D12,0)&gt;=D12,D12&amp;"",ROUNDUP(0.9*D12,0)&amp;"–"&amp;D12)&amp;CHAR(10)&amp;"G: "&amp;IF(ROUNDUP(0.7*D12,0)&gt;=(ROUNDUP(0.9*D12,0)-1),(ROUNDUP(0.9*D12,0)-1)&amp;"",ROUNDUP(0.7*D12,0)&amp;"–"&amp;(ROUNDUP(0.9*D12,0)-1))&amp;CHAR(10)&amp;"S: "&amp;IF(ROUNDUP(0.5*D12,0)&gt;=(ROUNDUP(0.7*D12,0)-1),(ROUNDUP(0.7*D12,0)-1)&amp;"",ROUNDUP(0.5*D12,0)&amp;"–"&amp;(ROUNDUP(0.7*D12,0)-1))&amp;CHAR(10)&amp;"NI: "&amp;IF(0&gt;=(ROUNDUP(0.5*D12,0)-1),(ROUNDUP(0.5*D12,0)-1)&amp;"",0&amp;"–"&amp;(ROUNDUP(0.5*D12,0)-1))</f>
        <v/>
      </c>
      <c r="J12" s="30">
        <f>IF(N(Mapping!D23)&gt;0,"PO1("&amp;Mapping!D23&amp;") ","")&amp;IF(N(Mapping!E23)&gt;0,"PO2("&amp;Mapping!E23&amp;") ","")&amp;IF(N(Mapping!F23)&gt;0,"PO3("&amp;Mapping!F23&amp;") ","")&amp;IF(N(Mapping!G23)&gt;0,"PO4("&amp;Mapping!G23&amp;") ","")&amp;IF(N(Mapping!H23)&gt;0,"PO5("&amp;Mapping!H23&amp;") ","")&amp;IF(N(Mapping!I23)&gt;0,"PO6("&amp;Mapping!I23&amp;") ","")&amp;IF(N(Mapping!J23)&gt;0,"PO7("&amp;Mapping!J23&amp;") ","")&amp;IF(N(Mapping!K23)&gt;0,"PO8("&amp;Mapping!K23&amp;") ","")&amp;IF(N(Mapping!L23)&gt;0,"PO9("&amp;Mapping!L23&amp;") ","")&amp;IF(N(Mapping!M23)&gt;0,"PO10("&amp;Mapping!M23&amp;") ","")&amp;IF(N(Mapping!N23)&gt;0,"PO11("&amp;Mapping!N23&amp;") ","")&amp;IF(N(Mapping!O23)&gt;0,"PSO1("&amp;Mapping!O23&amp;") ","")&amp;IF(N(Mapping!P23)&gt;0,"PSO2("&amp;Mapping!P23&amp;") ","")</f>
        <v/>
      </c>
    </row>
    <row r="13">
      <c r="C13" s="24" t="inlineStr">
        <is>
          <t>Total</t>
        </is>
      </c>
      <c r="D13" s="31">
        <f>SUM(D4:D12)</f>
        <v/>
      </c>
    </row>
    <row r="16">
      <c r="A16" s="16" t="inlineStr">
        <is>
          <t>SDG contribution strength — rate each SDG the team claims (primary and secondary) separately. Not part of the 100 marks.</t>
        </is>
      </c>
    </row>
    <row r="17">
      <c r="A17" s="17" t="inlineStr">
        <is>
          <t>Rating</t>
        </is>
      </c>
      <c r="B17" s="17" t="inlineStr">
        <is>
          <t>Strength</t>
        </is>
      </c>
      <c r="C17" s="17" t="inlineStr">
        <is>
          <t>What the evaluator should see</t>
        </is>
      </c>
    </row>
    <row r="18" ht="30" customHeight="1">
      <c r="A18" s="24" t="n">
        <v>3</v>
      </c>
      <c r="B18" s="32" t="inlineStr">
        <is>
          <t>High</t>
        </is>
      </c>
      <c r="C18" s="5" t="inlineStr">
        <is>
          <t>Directly advances a named SDG target (e.g. 6.1), with a measurable indicator and a working solution that plausibly moves it.</t>
        </is>
      </c>
      <c r="D18" s="21" t="n"/>
      <c r="E18" s="21" t="n"/>
      <c r="F18" s="21" t="n"/>
      <c r="G18" s="21" t="n"/>
      <c r="H18" s="21" t="n"/>
      <c r="I18" s="21" t="n"/>
      <c r="J18" s="21" t="n"/>
    </row>
    <row r="19" ht="30" customHeight="1">
      <c r="A19" s="24" t="n">
        <v>2</v>
      </c>
      <c r="B19" s="32" t="inlineStr">
        <is>
          <t>Medium</t>
        </is>
      </c>
      <c r="C19" s="5" t="inlineStr">
        <is>
          <t>Meaningfully supports the goal. The goal is clearly served, but the impact is described qualitatively or the target is only broadly named.</t>
        </is>
      </c>
      <c r="D19" s="21" t="n"/>
      <c r="E19" s="21" t="n"/>
      <c r="F19" s="21" t="n"/>
      <c r="G19" s="21" t="n"/>
      <c r="H19" s="21" t="n"/>
      <c r="I19" s="21" t="n"/>
      <c r="J19" s="21" t="n"/>
    </row>
    <row r="20" ht="30" customHeight="1">
      <c r="A20" s="24" t="n">
        <v>1</v>
      </c>
      <c r="B20" s="32" t="inlineStr">
        <is>
          <t>Low</t>
        </is>
      </c>
      <c r="C20" s="5" t="inlineStr">
        <is>
          <t>Indirect or enabling. The solution helps something else that in turn helps the goal, such as general awareness.</t>
        </is>
      </c>
      <c r="D20" s="21" t="n"/>
      <c r="E20" s="21" t="n"/>
      <c r="F20" s="21" t="n"/>
      <c r="G20" s="21" t="n"/>
      <c r="H20" s="21" t="n"/>
      <c r="I20" s="21" t="n"/>
      <c r="J20" s="21" t="n"/>
    </row>
    <row r="21" ht="30" customHeight="1">
      <c r="A21" s="24" t="n">
        <v>0</v>
      </c>
      <c r="B21" s="32" t="inlineStr">
        <is>
          <t>None</t>
        </is>
      </c>
      <c r="C21" s="5" t="inlineStr">
        <is>
          <t>Claimed but not shown. The SDG label does not match what the solution actually does.</t>
        </is>
      </c>
      <c r="D21" s="21" t="n"/>
      <c r="E21" s="21" t="n"/>
      <c r="F21" s="21" t="n"/>
      <c r="G21" s="21" t="n"/>
      <c r="H21" s="21" t="n"/>
      <c r="I21" s="21" t="n"/>
      <c r="J21" s="21" t="n"/>
    </row>
    <row r="22">
      <c r="A22" s="27" t="inlineStr">
        <is>
          <t>Rate the solution's contribution to that goal, not the overall quality of the project. Solution strength = average across evaluators; goal attainment = average over all solutions addressing the goal.</t>
        </is>
      </c>
    </row>
  </sheetData>
  <mergeCells count="9">
    <mergeCell ref="A1:J1"/>
    <mergeCell ref="C17:J17"/>
    <mergeCell ref="C21:J21"/>
    <mergeCell ref="C20:J20"/>
    <mergeCell ref="A22:J22"/>
    <mergeCell ref="A2:J2"/>
    <mergeCell ref="C19:J19"/>
    <mergeCell ref="A16:J16"/>
    <mergeCell ref="C18:J18"/>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7030A0"/>
    <outlinePr summaryBelow="1" summaryRight="1"/>
    <pageSetUpPr/>
  </sheetPr>
  <dimension ref="A1:Q40"/>
  <sheetViews>
    <sheetView workbookViewId="0">
      <pane xSplit="3" ySplit="14" topLeftCell="D15" activePane="bottomRight" state="frozen"/>
      <selection pane="topRight"/>
      <selection pane="bottomLeft"/>
      <selection pane="bottomRight" activeCell="A1" sqref="A1"/>
    </sheetView>
  </sheetViews>
  <sheetFormatPr baseColWidth="8" defaultRowHeight="15"/>
  <cols>
    <col width="7" customWidth="1" min="1" max="1"/>
    <col width="48" customWidth="1" min="2" max="2"/>
    <col width="10"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26" t="inlineStr">
        <is>
          <t>Settings &amp; Rubric → PO / PSO Mapping Matrix</t>
        </is>
      </c>
    </row>
    <row r="3">
      <c r="A3" s="32" t="inlineStr">
        <is>
          <t>Hackathon title</t>
        </is>
      </c>
      <c r="B3" s="21" t="n"/>
      <c r="C3" s="29" t="inlineStr">
        <is>
          <t>SDG Hackathon 2026</t>
        </is>
      </c>
      <c r="D3" s="33" t="n"/>
      <c r="E3" s="33" t="n"/>
      <c r="F3" s="34" t="n"/>
      <c r="H3" s="27" t="inlineStr">
        <is>
          <t>Yellow cells are editable. Correlation strength: 3 = High, 2 = Medium, 1 = Low, blank/0 = not mapped.</t>
        </is>
      </c>
    </row>
    <row r="4">
      <c r="A4" s="32" t="inlineStr">
        <is>
          <t>Institution</t>
        </is>
      </c>
      <c r="B4" s="21" t="n"/>
      <c r="C4" s="29" t="inlineStr">
        <is>
          <t>Canara Engineering College, Mangaluru</t>
        </is>
      </c>
      <c r="D4" s="33" t="n"/>
      <c r="E4" s="33" t="n"/>
      <c r="F4" s="34" t="n"/>
    </row>
    <row r="5">
      <c r="A5" s="32" t="inlineStr">
        <is>
          <t>Department</t>
        </is>
      </c>
      <c r="B5" s="21" t="n"/>
      <c r="C5" s="29" t="inlineStr">
        <is>
          <t>Artificial Intelligence and Machine Learning</t>
        </is>
      </c>
      <c r="D5" s="33" t="n"/>
      <c r="E5" s="33" t="n"/>
      <c r="F5" s="34" t="n"/>
      <c r="H5" s="27" t="inlineStr">
        <is>
          <t>Attainment method: each team's outcome attainment = Σ(criterion score ÷ criterion max × correlation) ÷ Σ correlation. Event attainment level is set by the % of teams reaching the target score for that outcome. SDGs are not mapped here: evaluators rate each claimed SDG 0–3 on the event sheets and SDG attainment is the average strength.</t>
        </is>
      </c>
    </row>
    <row r="6">
      <c r="A6" s="32" t="inlineStr">
        <is>
          <t>Academic year</t>
        </is>
      </c>
      <c r="B6" s="21" t="n"/>
      <c r="C6" s="29" t="inlineStr">
        <is>
          <t>2026-27</t>
        </is>
      </c>
      <c r="D6" s="33" t="n"/>
      <c r="E6" s="33" t="n"/>
      <c r="F6" s="34" t="n"/>
    </row>
    <row r="7">
      <c r="A7" s="32" t="inlineStr">
        <is>
          <t>Target score per team (% of maximum marks)</t>
        </is>
      </c>
      <c r="B7" s="21" t="n"/>
      <c r="C7" s="35" t="n">
        <v>0.6</v>
      </c>
      <c r="D7" s="33" t="n"/>
      <c r="E7" s="33" t="n"/>
      <c r="F7" s="34" t="n"/>
    </row>
    <row r="8">
      <c r="A8" s="32" t="inlineStr">
        <is>
          <t>Attainment Level 3 if % of teams at/above target ≥</t>
        </is>
      </c>
      <c r="B8" s="21" t="n"/>
      <c r="C8" s="35" t="n">
        <v>0.7</v>
      </c>
      <c r="D8" s="33" t="n"/>
      <c r="E8" s="33" t="n"/>
      <c r="F8" s="34" t="n"/>
    </row>
    <row r="9">
      <c r="A9" s="32" t="inlineStr">
        <is>
          <t>Attainment Level 2 if % of teams at/above target ≥</t>
        </is>
      </c>
      <c r="B9" s="21" t="n"/>
      <c r="C9" s="35" t="n">
        <v>0.6</v>
      </c>
      <c r="D9" s="33" t="n"/>
      <c r="E9" s="33" t="n"/>
      <c r="F9" s="34" t="n"/>
    </row>
    <row r="10">
      <c r="A10" s="32" t="inlineStr">
        <is>
          <t>Attainment Level 1 if % of teams at/above target ≥</t>
        </is>
      </c>
      <c r="B10" s="21" t="n"/>
      <c r="C10" s="35" t="n">
        <v>0.5</v>
      </c>
      <c r="D10" s="33" t="n"/>
      <c r="E10" s="33" t="n"/>
      <c r="F10" s="34" t="n"/>
    </row>
    <row r="11">
      <c r="A11" s="32" t="inlineStr">
        <is>
          <t>Teams shortlisted per round (fixed at 5 by event format)</t>
        </is>
      </c>
      <c r="B11" s="21" t="n"/>
      <c r="C11" s="11" t="n">
        <v>5</v>
      </c>
      <c r="D11" s="36" t="n"/>
      <c r="E11" s="36" t="n"/>
      <c r="F11" s="4" t="n"/>
    </row>
    <row r="12">
      <c r="A12" s="32" t="inlineStr">
        <is>
          <t>SDG contribution counts as reached at strength ≥ (1–3)</t>
        </is>
      </c>
      <c r="B12" s="21" t="n"/>
      <c r="C12" s="37" t="n">
        <v>2</v>
      </c>
      <c r="D12" s="33" t="n"/>
      <c r="E12" s="33" t="n"/>
      <c r="F12" s="34" t="n"/>
    </row>
    <row r="14" ht="22" customHeight="1">
      <c r="A14" s="9" t="inlineStr">
        <is>
          <t>#</t>
        </is>
      </c>
      <c r="B14" s="9" t="inlineStr">
        <is>
          <t>Rubric Criterion</t>
        </is>
      </c>
      <c r="C14" s="9" t="inlineStr">
        <is>
          <t>Max Marks</t>
        </is>
      </c>
      <c r="D14" s="9" t="inlineStr">
        <is>
          <t>PO1</t>
        </is>
      </c>
      <c r="E14" s="9" t="inlineStr">
        <is>
          <t>PO2</t>
        </is>
      </c>
      <c r="F14" s="9" t="inlineStr">
        <is>
          <t>PO3</t>
        </is>
      </c>
      <c r="G14" s="9" t="inlineStr">
        <is>
          <t>PO4</t>
        </is>
      </c>
      <c r="H14" s="9" t="inlineStr">
        <is>
          <t>PO5</t>
        </is>
      </c>
      <c r="I14" s="9" t="inlineStr">
        <is>
          <t>PO6</t>
        </is>
      </c>
      <c r="J14" s="9" t="inlineStr">
        <is>
          <t>PO7</t>
        </is>
      </c>
      <c r="K14" s="9" t="inlineStr">
        <is>
          <t>PO8</t>
        </is>
      </c>
      <c r="L14" s="9" t="inlineStr">
        <is>
          <t>PO9</t>
        </is>
      </c>
      <c r="M14" s="9" t="inlineStr">
        <is>
          <t>PO10</t>
        </is>
      </c>
      <c r="N14" s="9" t="inlineStr">
        <is>
          <t>PO11</t>
        </is>
      </c>
      <c r="O14" s="38" t="inlineStr">
        <is>
          <t>PSO1</t>
        </is>
      </c>
      <c r="P14" s="38" t="inlineStr">
        <is>
          <t>PSO2</t>
        </is>
      </c>
    </row>
    <row r="15">
      <c r="A15" s="28" t="n">
        <v>1</v>
      </c>
      <c r="B15" s="5">
        <f>Rubric!B4</f>
        <v/>
      </c>
      <c r="C15" s="28">
        <f>Rubric!D4</f>
        <v/>
      </c>
      <c r="D15" s="29" t="n">
        <v>1</v>
      </c>
      <c r="E15" s="29" t="n">
        <v>3</v>
      </c>
      <c r="F15" s="29" t="n"/>
      <c r="G15" s="29" t="n">
        <v>1</v>
      </c>
      <c r="H15" s="29" t="n"/>
      <c r="I15" s="29" t="n">
        <v>3</v>
      </c>
      <c r="J15" s="29" t="n"/>
      <c r="K15" s="29" t="n"/>
      <c r="L15" s="29" t="n"/>
      <c r="M15" s="29" t="n"/>
      <c r="N15" s="29" t="n">
        <v>1</v>
      </c>
      <c r="O15" s="29" t="n"/>
      <c r="P15" s="29" t="n">
        <v>1</v>
      </c>
    </row>
    <row r="16">
      <c r="A16" s="28" t="n">
        <v>2</v>
      </c>
      <c r="B16" s="5">
        <f>Rubric!B5</f>
        <v/>
      </c>
      <c r="C16" s="28">
        <f>Rubric!D5</f>
        <v/>
      </c>
      <c r="D16" s="29" t="n">
        <v>2</v>
      </c>
      <c r="E16" s="29" t="n">
        <v>3</v>
      </c>
      <c r="F16" s="29" t="n"/>
      <c r="G16" s="29" t="n">
        <v>3</v>
      </c>
      <c r="H16" s="29" t="n">
        <v>1</v>
      </c>
      <c r="I16" s="29" t="n">
        <v>1</v>
      </c>
      <c r="J16" s="29" t="n"/>
      <c r="K16" s="29" t="n"/>
      <c r="L16" s="29" t="n"/>
      <c r="M16" s="29" t="n"/>
      <c r="N16" s="29" t="n">
        <v>2</v>
      </c>
      <c r="O16" s="29" t="n"/>
      <c r="P16" s="29" t="n"/>
    </row>
    <row r="17">
      <c r="A17" s="28" t="n">
        <v>3</v>
      </c>
      <c r="B17" s="5">
        <f>Rubric!B6</f>
        <v/>
      </c>
      <c r="C17" s="28">
        <f>Rubric!D6</f>
        <v/>
      </c>
      <c r="D17" s="29" t="n">
        <v>2</v>
      </c>
      <c r="E17" s="29" t="n">
        <v>2</v>
      </c>
      <c r="F17" s="29" t="n">
        <v>3</v>
      </c>
      <c r="G17" s="29" t="n">
        <v>1</v>
      </c>
      <c r="H17" s="29" t="n"/>
      <c r="I17" s="29" t="n">
        <v>1</v>
      </c>
      <c r="J17" s="29" t="n"/>
      <c r="K17" s="29" t="n"/>
      <c r="L17" s="29" t="n"/>
      <c r="M17" s="29" t="n"/>
      <c r="N17" s="29" t="n"/>
      <c r="O17" s="29" t="n">
        <v>2</v>
      </c>
      <c r="P17" s="29" t="n">
        <v>3</v>
      </c>
    </row>
    <row r="18">
      <c r="A18" s="28" t="n">
        <v>4</v>
      </c>
      <c r="B18" s="5">
        <f>Rubric!B7</f>
        <v/>
      </c>
      <c r="C18" s="28">
        <f>Rubric!D7</f>
        <v/>
      </c>
      <c r="D18" s="29" t="n">
        <v>2</v>
      </c>
      <c r="E18" s="29" t="n"/>
      <c r="F18" s="29" t="n">
        <v>2</v>
      </c>
      <c r="G18" s="29" t="n"/>
      <c r="H18" s="29" t="n">
        <v>3</v>
      </c>
      <c r="I18" s="29" t="n"/>
      <c r="J18" s="29" t="n"/>
      <c r="K18" s="29" t="n">
        <v>1</v>
      </c>
      <c r="L18" s="29" t="n"/>
      <c r="M18" s="29" t="n"/>
      <c r="N18" s="29" t="n">
        <v>1</v>
      </c>
      <c r="O18" s="29" t="n">
        <v>3</v>
      </c>
      <c r="P18" s="29" t="n">
        <v>2</v>
      </c>
    </row>
    <row r="19">
      <c r="A19" s="28" t="n">
        <v>5</v>
      </c>
      <c r="B19" s="5">
        <f>Rubric!B8</f>
        <v/>
      </c>
      <c r="C19" s="28">
        <f>Rubric!D8</f>
        <v/>
      </c>
      <c r="D19" s="29" t="n">
        <v>2</v>
      </c>
      <c r="E19" s="29" t="n">
        <v>1</v>
      </c>
      <c r="F19" s="29" t="n">
        <v>1</v>
      </c>
      <c r="G19" s="29" t="n">
        <v>2</v>
      </c>
      <c r="H19" s="29" t="n">
        <v>2</v>
      </c>
      <c r="I19" s="29" t="n"/>
      <c r="J19" s="29" t="n"/>
      <c r="K19" s="29" t="n"/>
      <c r="L19" s="29" t="n"/>
      <c r="M19" s="29" t="n"/>
      <c r="N19" s="29" t="n">
        <v>1</v>
      </c>
      <c r="O19" s="29" t="n">
        <v>3</v>
      </c>
      <c r="P19" s="29" t="n">
        <v>1</v>
      </c>
    </row>
    <row r="20">
      <c r="A20" s="28" t="n">
        <v>6</v>
      </c>
      <c r="B20" s="5">
        <f>Rubric!B9</f>
        <v/>
      </c>
      <c r="C20" s="28">
        <f>Rubric!D9</f>
        <v/>
      </c>
      <c r="D20" s="29" t="n"/>
      <c r="E20" s="29" t="n"/>
      <c r="F20" s="29" t="n">
        <v>1</v>
      </c>
      <c r="G20" s="29" t="n"/>
      <c r="H20" s="29" t="n"/>
      <c r="I20" s="29" t="n">
        <v>3</v>
      </c>
      <c r="J20" s="29" t="n">
        <v>3</v>
      </c>
      <c r="K20" s="29" t="n"/>
      <c r="L20" s="29" t="n"/>
      <c r="M20" s="29" t="n"/>
      <c r="N20" s="29" t="n"/>
      <c r="O20" s="29" t="n"/>
      <c r="P20" s="29" t="n">
        <v>1</v>
      </c>
    </row>
    <row r="21">
      <c r="A21" s="28" t="n">
        <v>7</v>
      </c>
      <c r="B21" s="5">
        <f>Rubric!B10</f>
        <v/>
      </c>
      <c r="C21" s="28">
        <f>Rubric!D10</f>
        <v/>
      </c>
      <c r="D21" s="29" t="n"/>
      <c r="E21" s="29" t="n"/>
      <c r="F21" s="29" t="n">
        <v>1</v>
      </c>
      <c r="G21" s="29" t="n"/>
      <c r="H21" s="29" t="n"/>
      <c r="I21" s="29" t="n">
        <v>2</v>
      </c>
      <c r="J21" s="29" t="n"/>
      <c r="K21" s="29" t="n"/>
      <c r="L21" s="29" t="n"/>
      <c r="M21" s="29" t="n">
        <v>3</v>
      </c>
      <c r="N21" s="29" t="n"/>
      <c r="O21" s="29" t="n"/>
      <c r="P21" s="29" t="n">
        <v>2</v>
      </c>
    </row>
    <row r="22">
      <c r="A22" s="28" t="n">
        <v>8</v>
      </c>
      <c r="B22" s="5">
        <f>Rubric!B11</f>
        <v/>
      </c>
      <c r="C22" s="28">
        <f>Rubric!D11</f>
        <v/>
      </c>
      <c r="D22" s="29" t="n"/>
      <c r="E22" s="29" t="n"/>
      <c r="F22" s="29" t="n"/>
      <c r="G22" s="29" t="n"/>
      <c r="H22" s="29" t="n"/>
      <c r="I22" s="29" t="n"/>
      <c r="J22" s="29" t="n">
        <v>1</v>
      </c>
      <c r="K22" s="29" t="n">
        <v>3</v>
      </c>
      <c r="L22" s="29" t="n">
        <v>1</v>
      </c>
      <c r="M22" s="29" t="n">
        <v>2</v>
      </c>
      <c r="N22" s="29" t="n"/>
      <c r="O22" s="29" t="n"/>
      <c r="P22" s="29" t="n"/>
    </row>
    <row r="23">
      <c r="A23" s="28" t="n">
        <v>9</v>
      </c>
      <c r="B23" s="5">
        <f>Rubric!B12</f>
        <v/>
      </c>
      <c r="C23" s="28">
        <f>Rubric!D12</f>
        <v/>
      </c>
      <c r="D23" s="29" t="n"/>
      <c r="E23" s="29" t="n"/>
      <c r="F23" s="29" t="n"/>
      <c r="G23" s="29" t="n"/>
      <c r="H23" s="29" t="n"/>
      <c r="I23" s="29" t="n"/>
      <c r="J23" s="29" t="n"/>
      <c r="K23" s="29" t="n">
        <v>2</v>
      </c>
      <c r="L23" s="29" t="n">
        <v>3</v>
      </c>
      <c r="M23" s="29" t="n"/>
      <c r="N23" s="29" t="n">
        <v>1</v>
      </c>
      <c r="O23" s="29" t="n"/>
      <c r="P23" s="29" t="n">
        <v>1</v>
      </c>
    </row>
    <row r="24">
      <c r="A24" s="21" t="n"/>
      <c r="B24" s="32" t="inlineStr">
        <is>
          <t>Σ Correlation</t>
        </is>
      </c>
      <c r="C24" s="21" t="n"/>
      <c r="D24" s="31">
        <f>SUM(D15:D23)</f>
        <v/>
      </c>
      <c r="E24" s="31">
        <f>SUM(E15:E23)</f>
        <v/>
      </c>
      <c r="F24" s="31">
        <f>SUM(F15:F23)</f>
        <v/>
      </c>
      <c r="G24" s="31">
        <f>SUM(G15:G23)</f>
        <v/>
      </c>
      <c r="H24" s="31">
        <f>SUM(H15:H23)</f>
        <v/>
      </c>
      <c r="I24" s="31">
        <f>SUM(I15:I23)</f>
        <v/>
      </c>
      <c r="J24" s="31">
        <f>SUM(J15:J23)</f>
        <v/>
      </c>
      <c r="K24" s="31">
        <f>SUM(K15:K23)</f>
        <v/>
      </c>
      <c r="L24" s="31">
        <f>SUM(L15:L23)</f>
        <v/>
      </c>
      <c r="M24" s="31">
        <f>SUM(M15:M23)</f>
        <v/>
      </c>
      <c r="N24" s="31">
        <f>SUM(N15:N23)</f>
        <v/>
      </c>
      <c r="O24" s="31">
        <f>SUM(O15:O23)</f>
        <v/>
      </c>
      <c r="P24" s="31">
        <f>SUM(P15:P23)</f>
        <v/>
      </c>
    </row>
    <row r="25">
      <c r="A25" s="21" t="n"/>
      <c r="B25" s="32" t="inlineStr">
        <is>
          <t>No. of criteria mapped</t>
        </is>
      </c>
      <c r="C25" s="21" t="n"/>
      <c r="D25" s="39">
        <f>COUNTIF(D15:D23,"&gt;0")</f>
        <v/>
      </c>
      <c r="E25" s="39">
        <f>COUNTIF(E15:E23,"&gt;0")</f>
        <v/>
      </c>
      <c r="F25" s="39">
        <f>COUNTIF(F15:F23,"&gt;0")</f>
        <v/>
      </c>
      <c r="G25" s="39">
        <f>COUNTIF(G15:G23,"&gt;0")</f>
        <v/>
      </c>
      <c r="H25" s="39">
        <f>COUNTIF(H15:H23,"&gt;0")</f>
        <v/>
      </c>
      <c r="I25" s="39">
        <f>COUNTIF(I15:I23,"&gt;0")</f>
        <v/>
      </c>
      <c r="J25" s="39">
        <f>COUNTIF(J15:J23,"&gt;0")</f>
        <v/>
      </c>
      <c r="K25" s="39">
        <f>COUNTIF(K15:K23,"&gt;0")</f>
        <v/>
      </c>
      <c r="L25" s="39">
        <f>COUNTIF(L15:L23,"&gt;0")</f>
        <v/>
      </c>
      <c r="M25" s="39">
        <f>COUNTIF(M15:M23,"&gt;0")</f>
        <v/>
      </c>
      <c r="N25" s="39">
        <f>COUNTIF(N15:N23,"&gt;0")</f>
        <v/>
      </c>
      <c r="O25" s="39">
        <f>COUNTIF(O15:O23,"&gt;0")</f>
        <v/>
      </c>
      <c r="P25" s="39">
        <f>COUNTIF(P15:P23,"&gt;0")</f>
        <v/>
      </c>
    </row>
    <row r="27">
      <c r="A27" s="9" t="inlineStr">
        <is>
          <t>Programme Outcomes and Programme Specific Outcomes</t>
        </is>
      </c>
    </row>
    <row r="28" ht="16" customHeight="1">
      <c r="A28" s="24" t="inlineStr">
        <is>
          <t>PO1</t>
        </is>
      </c>
      <c r="B28" s="5" t="inlineStr">
        <is>
          <t>Engineering Knowledge</t>
        </is>
      </c>
    </row>
    <row r="29" ht="16" customHeight="1">
      <c r="A29" s="24" t="inlineStr">
        <is>
          <t>PO2</t>
        </is>
      </c>
      <c r="B29" s="5" t="inlineStr">
        <is>
          <t>Problem Analysis</t>
        </is>
      </c>
    </row>
    <row r="30" ht="16" customHeight="1">
      <c r="A30" s="24" t="inlineStr">
        <is>
          <t>PO3</t>
        </is>
      </c>
      <c r="B30" s="5" t="inlineStr">
        <is>
          <t>Design/Development of Solutions</t>
        </is>
      </c>
    </row>
    <row r="31" ht="16" customHeight="1">
      <c r="A31" s="24" t="inlineStr">
        <is>
          <t>PO4</t>
        </is>
      </c>
      <c r="B31" s="5" t="inlineStr">
        <is>
          <t>Conduct Investigations of Complex Problems</t>
        </is>
      </c>
    </row>
    <row r="32" ht="16" customHeight="1">
      <c r="A32" s="24" t="inlineStr">
        <is>
          <t>PO5</t>
        </is>
      </c>
      <c r="B32" s="5" t="inlineStr">
        <is>
          <t>Engineering Tool Usage</t>
        </is>
      </c>
    </row>
    <row r="33" ht="16" customHeight="1">
      <c r="A33" s="24" t="inlineStr">
        <is>
          <t>PO6</t>
        </is>
      </c>
      <c r="B33" s="5" t="inlineStr">
        <is>
          <t>The Engineer and The World</t>
        </is>
      </c>
    </row>
    <row r="34" ht="16" customHeight="1">
      <c r="A34" s="24" t="inlineStr">
        <is>
          <t>PO7</t>
        </is>
      </c>
      <c r="B34" s="5" t="inlineStr">
        <is>
          <t>Ethics</t>
        </is>
      </c>
    </row>
    <row r="35" ht="16" customHeight="1">
      <c r="A35" s="24" t="inlineStr">
        <is>
          <t>PO8</t>
        </is>
      </c>
      <c r="B35" s="5" t="inlineStr">
        <is>
          <t>Individual and Collaborative Team Work</t>
        </is>
      </c>
    </row>
    <row r="36" ht="16" customHeight="1">
      <c r="A36" s="24" t="inlineStr">
        <is>
          <t>PO9</t>
        </is>
      </c>
      <c r="B36" s="5" t="inlineStr">
        <is>
          <t>Communication</t>
        </is>
      </c>
    </row>
    <row r="37" ht="16" customHeight="1">
      <c r="A37" s="24" t="inlineStr">
        <is>
          <t>PO10</t>
        </is>
      </c>
      <c r="B37" s="5" t="inlineStr">
        <is>
          <t>Project Management and Finance</t>
        </is>
      </c>
    </row>
    <row r="38" ht="16" customHeight="1">
      <c r="A38" s="24" t="inlineStr">
        <is>
          <t>PO11</t>
        </is>
      </c>
      <c r="B38" s="5" t="inlineStr">
        <is>
          <t>Life-Long Learning</t>
        </is>
      </c>
    </row>
    <row r="39" ht="28" customHeight="1">
      <c r="A39" s="24" t="inlineStr">
        <is>
          <t>PSO1</t>
        </is>
      </c>
      <c r="B39" s="5" t="inlineStr">
        <is>
          <t>Intelligent Systems: Select appropriate technologies to analyse, design, implement, and deployment of smart and intelligent systems</t>
        </is>
      </c>
    </row>
    <row r="40" ht="28" customHeight="1">
      <c r="A40" s="24" t="inlineStr">
        <is>
          <t>PSO2</t>
        </is>
      </c>
      <c r="B40" s="5" t="inlineStr">
        <is>
          <t>Contemporary Systems: Design, and development of efficient IT solutions for challenging issues through experiential learning</t>
        </is>
      </c>
    </row>
  </sheetData>
  <mergeCells count="37">
    <mergeCell ref="H5:Q8"/>
    <mergeCell ref="B34:Q34"/>
    <mergeCell ref="B37:Q37"/>
    <mergeCell ref="B28:Q28"/>
    <mergeCell ref="C8:F8"/>
    <mergeCell ref="B40:Q40"/>
    <mergeCell ref="A11:B11"/>
    <mergeCell ref="C7:F7"/>
    <mergeCell ref="B30:Q30"/>
    <mergeCell ref="B33:Q33"/>
    <mergeCell ref="A6:B6"/>
    <mergeCell ref="A1:Q1"/>
    <mergeCell ref="C3:F3"/>
    <mergeCell ref="B36:Q36"/>
    <mergeCell ref="A7:B7"/>
    <mergeCell ref="B32:Q32"/>
    <mergeCell ref="B35:Q35"/>
    <mergeCell ref="C6:F6"/>
    <mergeCell ref="C5:F5"/>
    <mergeCell ref="A3:B3"/>
    <mergeCell ref="A12:B12"/>
    <mergeCell ref="A27:Q27"/>
    <mergeCell ref="C4:F4"/>
    <mergeCell ref="B31:Q31"/>
    <mergeCell ref="A5:B5"/>
    <mergeCell ref="H3:Q4"/>
    <mergeCell ref="C10:F10"/>
    <mergeCell ref="A8:B8"/>
    <mergeCell ref="B39:Q39"/>
    <mergeCell ref="A4:B4"/>
    <mergeCell ref="C9:F9"/>
    <mergeCell ref="C12:F12"/>
    <mergeCell ref="A10:B10"/>
    <mergeCell ref="C11:F11"/>
    <mergeCell ref="B38:Q38"/>
    <mergeCell ref="A9:B9"/>
    <mergeCell ref="B29:Q29"/>
  </mergeCells>
  <dataValidations count="2">
    <dataValidation sqref="D15:P23" showDropDown="0" showInputMessage="0" showErrorMessage="1" allowBlank="1" errorTitle="Invalid correlation" error="Correlation must be 0, 1, 2 or 3" type="whole" operator="between">
      <formula1>0</formula1>
      <formula2>3</formula2>
    </dataValidation>
    <dataValidation sqref="C12" showDropDown="0" showInputMessage="0" showErrorMessage="1" allowBlank="0" errorTitle="Invalid strength" error="Enter 1, 2 or 3." type="whole" operator="between">
      <formula1>1</formula1>
      <formula2>3</formula2>
    </dataValidation>
  </dataValidations>
  <pageMargins left="0.75" right="0.75" top="1" bottom="1" header="0.5" footer="0.5"/>
</worksheet>
</file>

<file path=xl/worksheets/sheet5.xml><?xml version="1.0" encoding="utf-8"?>
<worksheet xmlns="http://schemas.openxmlformats.org/spreadsheetml/2006/main">
  <sheetPr>
    <tabColor rgb="002E75B6"/>
    <outlinePr summaryBelow="1" summaryRight="1"/>
    <pageSetUpPr fitToPage="1"/>
  </sheetPr>
  <dimension ref="A1:BR57"/>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9" customWidth="1" min="3" max="3"/>
    <col width="30" customWidth="1" min="4" max="4"/>
    <col width="30" customWidth="1" min="5" max="5"/>
    <col width="26" customWidth="1" min="6" max="6"/>
    <col width="26" customWidth="1" min="7" max="7"/>
    <col width="34"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8.5" customWidth="1" min="17" max="17"/>
    <col width="8.5" customWidth="1" min="18" max="18"/>
    <col width="8.5" customWidth="1" min="19" max="19"/>
    <col width="8.5" customWidth="1" min="20" max="20"/>
    <col width="8.5" customWidth="1" min="21" max="21"/>
    <col width="8.5" customWidth="1" min="22" max="22"/>
    <col width="8.5" customWidth="1" min="23" max="23"/>
    <col width="8.5" customWidth="1" min="24" max="24"/>
    <col width="8.5" customWidth="1" min="25" max="25"/>
    <col width="8.5" customWidth="1" min="26" max="26"/>
    <col width="8.5" customWidth="1" min="27" max="27"/>
    <col width="8.5" customWidth="1" min="28" max="28"/>
    <col width="8.5" customWidth="1" min="29" max="29"/>
    <col width="8.5" customWidth="1" min="30" max="30"/>
    <col width="8.5" customWidth="1" min="31" max="31"/>
    <col width="8.5" customWidth="1" min="32" max="32"/>
    <col width="8.5" customWidth="1" min="33" max="33"/>
    <col width="8.5" customWidth="1" min="34" max="34"/>
    <col width="8.5" customWidth="1" min="35" max="35"/>
    <col width="8.5" customWidth="1" min="36" max="36"/>
    <col width="8.5" customWidth="1" min="37" max="37"/>
    <col width="8.5" customWidth="1" min="38" max="38"/>
    <col width="8.5" customWidth="1" min="39" max="39"/>
    <col width="8.5" customWidth="1" min="40" max="40"/>
    <col width="8.5" customWidth="1" min="41" max="41"/>
    <col width="8.5" customWidth="1" min="42" max="42"/>
    <col width="8.5" customWidth="1" min="43" max="43"/>
    <col width="8.5" customWidth="1" min="44" max="44"/>
    <col width="8.5" customWidth="1" min="45" max="45"/>
    <col width="8.5" customWidth="1" min="46" max="46"/>
    <col width="8.5" customWidth="1" min="47" max="47"/>
    <col width="8.5" customWidth="1" min="48" max="48"/>
    <col width="8.5" customWidth="1" min="49" max="49"/>
    <col width="8.5" customWidth="1" min="50" max="50"/>
    <col width="8.5" customWidth="1" min="51" max="51"/>
    <col width="8.5" customWidth="1" min="52" max="52"/>
    <col width="8.5" customWidth="1" min="53" max="53"/>
    <col width="8.5" customWidth="1" min="54" max="54"/>
    <col width="8.5" customWidth="1" min="55" max="55"/>
    <col width="14" customWidth="1" min="56" max="56"/>
    <col width="8.5" customWidth="1" min="57" max="57"/>
    <col width="8.5" customWidth="1" min="58" max="58"/>
    <col width="8.5" customWidth="1" min="59" max="59"/>
    <col width="8.5" customWidth="1" min="60" max="60"/>
    <col width="8.5" customWidth="1" min="61" max="61"/>
    <col width="8.5" customWidth="1" min="62" max="62"/>
    <col width="8.5" customWidth="1" min="63" max="63"/>
    <col width="8.5" customWidth="1" min="64" max="64"/>
    <col width="8.5" customWidth="1" min="65" max="65"/>
    <col width="8.5" customWidth="1" min="66" max="66"/>
    <col width="8.5" customWidth="1" min="67" max="67"/>
    <col width="8.5" customWidth="1" min="68" max="68"/>
    <col width="8.5" customWidth="1" min="69" max="69"/>
    <col hidden="1" width="13" customWidth="1" min="70" max="70"/>
  </cols>
  <sheetData>
    <row r="1">
      <c r="A1" s="26">
        <f>Mapping!$C$3&amp;" — 3rd Semester Section A — Intra-Class Hackathon"</f>
        <v/>
      </c>
      <c r="AP1" s="9">
        <f>Mapping!$C$4&amp;" | Dept. of "&amp;Mapping!$C$5&amp;" | AY "&amp;Mapping!$C$6</f>
        <v/>
      </c>
    </row>
    <row r="2">
      <c r="A2" s="24" t="inlineStr">
        <is>
          <t>Date:</t>
        </is>
      </c>
      <c r="B2" s="29" t="n"/>
      <c r="C2" s="21" t="n"/>
      <c r="D2" s="32" t="inlineStr">
        <is>
          <t>Venue / Coordinator:</t>
        </is>
      </c>
      <c r="E2" s="6" t="n"/>
      <c r="F2" s="21" t="n"/>
      <c r="G2" s="21" t="n"/>
      <c r="H2" s="21" t="n"/>
      <c r="AP2" s="32">
        <f>"PO/PSO target per team: "&amp;TEXT(Mapping!$C$7,"0%")&amp;"  |  SDG reached at strength ≥ "&amp;Mapping!$C$12&amp;"  |  Shortlist: top "&amp;Mapping!$C$11</f>
        <v/>
      </c>
      <c r="AQ2" s="36" t="n"/>
      <c r="AR2" s="36" t="n"/>
      <c r="AS2" s="36" t="n"/>
      <c r="AT2" s="36" t="n"/>
      <c r="AU2" s="36" t="n"/>
      <c r="AV2" s="36" t="n"/>
      <c r="AW2" s="36" t="n"/>
      <c r="AX2" s="36" t="n"/>
      <c r="AY2" s="36" t="n"/>
      <c r="AZ2" s="36" t="n"/>
      <c r="BA2" s="36" t="n"/>
      <c r="BB2" s="4" t="n"/>
    </row>
    <row r="3">
      <c r="D3" s="32" t="inlineStr">
        <is>
          <t>Evaluator names →</t>
        </is>
      </c>
      <c r="I3" s="40" t="inlineStr">
        <is>
          <t>Evaluator 1:</t>
        </is>
      </c>
      <c r="J3" s="4" t="n"/>
      <c r="K3" s="6" t="n"/>
      <c r="L3" s="21" t="n"/>
      <c r="M3" s="21" t="n"/>
      <c r="N3" s="21" t="n"/>
      <c r="O3" s="21" t="n"/>
      <c r="P3" s="21" t="n"/>
      <c r="Q3" s="21" t="n"/>
      <c r="R3" s="21" t="n"/>
      <c r="S3" s="21" t="n"/>
      <c r="T3" s="41" t="inlineStr">
        <is>
          <t>Evaluator 2:</t>
        </is>
      </c>
      <c r="U3" s="4" t="n"/>
      <c r="V3" s="6" t="n"/>
      <c r="W3" s="21" t="n"/>
      <c r="X3" s="21" t="n"/>
      <c r="Y3" s="21" t="n"/>
      <c r="Z3" s="21" t="n"/>
      <c r="AA3" s="21" t="n"/>
      <c r="AB3" s="21" t="n"/>
      <c r="AC3" s="21" t="n"/>
      <c r="AD3" s="21" t="n"/>
      <c r="AE3" s="42" t="inlineStr">
        <is>
          <t>Evaluator 3:</t>
        </is>
      </c>
      <c r="AF3" s="4" t="n"/>
      <c r="AG3" s="6" t="n"/>
      <c r="AH3" s="21" t="n"/>
      <c r="AI3" s="21" t="n"/>
      <c r="AJ3" s="21" t="n"/>
      <c r="AK3" s="21" t="n"/>
      <c r="AL3" s="21" t="n"/>
      <c r="AM3" s="21" t="n"/>
      <c r="AN3" s="21" t="n"/>
      <c r="AO3" s="21" t="n"/>
    </row>
    <row r="4" ht="30" customHeight="1">
      <c r="A4" s="9" t="inlineStr">
        <is>
          <t>Team Details (Coordinator)</t>
        </is>
      </c>
      <c r="B4" s="21" t="n"/>
      <c r="C4" s="21" t="n"/>
      <c r="D4" s="21" t="n"/>
      <c r="E4" s="21" t="n"/>
      <c r="F4" s="21" t="n"/>
      <c r="G4" s="21" t="n"/>
      <c r="H4" s="21" t="n"/>
      <c r="I4" s="43" t="inlineStr">
        <is>
          <t>Evaluator 1 — rubric marks, then SDG contribution strength (0–3)</t>
        </is>
      </c>
      <c r="J4" s="21" t="n"/>
      <c r="K4" s="21" t="n"/>
      <c r="L4" s="21" t="n"/>
      <c r="M4" s="21" t="n"/>
      <c r="N4" s="21" t="n"/>
      <c r="O4" s="21" t="n"/>
      <c r="P4" s="21" t="n"/>
      <c r="Q4" s="21" t="n"/>
      <c r="R4" s="21" t="n"/>
      <c r="S4" s="21" t="n"/>
      <c r="T4" s="44" t="inlineStr">
        <is>
          <t>Evaluator 2 — rubric marks, then SDG contribution strength (0–3)</t>
        </is>
      </c>
      <c r="U4" s="21" t="n"/>
      <c r="V4" s="21" t="n"/>
      <c r="W4" s="21" t="n"/>
      <c r="X4" s="21" t="n"/>
      <c r="Y4" s="21" t="n"/>
      <c r="Z4" s="21" t="n"/>
      <c r="AA4" s="21" t="n"/>
      <c r="AB4" s="21" t="n"/>
      <c r="AC4" s="21" t="n"/>
      <c r="AD4" s="21" t="n"/>
      <c r="AE4" s="45" t="inlineStr">
        <is>
          <t>Evaluator 3 — rubric marks, then SDG contribution strength (0–3)</t>
        </is>
      </c>
      <c r="AF4" s="21" t="n"/>
      <c r="AG4" s="21" t="n"/>
      <c r="AH4" s="21" t="n"/>
      <c r="AI4" s="21" t="n"/>
      <c r="AJ4" s="21" t="n"/>
      <c r="AK4" s="21" t="n"/>
      <c r="AL4" s="21" t="n"/>
      <c r="AM4" s="21" t="n"/>
      <c r="AN4" s="21" t="n"/>
      <c r="AO4" s="21" t="n"/>
      <c r="AP4" s="46" t="inlineStr">
        <is>
          <t>Consolidated rubric score (average of evaluators)</t>
        </is>
      </c>
      <c r="AQ4" s="21" t="n"/>
      <c r="AR4" s="21" t="n"/>
      <c r="AS4" s="21" t="n"/>
      <c r="AT4" s="21" t="n"/>
      <c r="AU4" s="21" t="n"/>
      <c r="AV4" s="21" t="n"/>
      <c r="AW4" s="21" t="n"/>
      <c r="AX4" s="21" t="n"/>
      <c r="AY4" s="16" t="inlineStr">
        <is>
          <t>SDG strength (avg, 0–3)</t>
        </is>
      </c>
      <c r="AZ4" s="21" t="n"/>
      <c r="BA4" s="2" t="inlineStr">
        <is>
          <t>Result</t>
        </is>
      </c>
      <c r="BB4" s="21" t="n"/>
      <c r="BC4" s="21" t="n"/>
      <c r="BD4" s="21" t="n"/>
      <c r="BE4" s="9" t="inlineStr">
        <is>
          <t>Programme Outcome attainment per team (%)</t>
        </is>
      </c>
      <c r="BF4" s="21" t="n"/>
      <c r="BG4" s="21" t="n"/>
      <c r="BH4" s="21" t="n"/>
      <c r="BI4" s="21" t="n"/>
      <c r="BJ4" s="21" t="n"/>
      <c r="BK4" s="21" t="n"/>
      <c r="BL4" s="21" t="n"/>
      <c r="BM4" s="21" t="n"/>
      <c r="BN4" s="21" t="n"/>
      <c r="BO4" s="21" t="n"/>
      <c r="BP4" s="38" t="inlineStr">
        <is>
          <t>PSO attainment (%)</t>
        </is>
      </c>
      <c r="BQ4" s="21" t="n"/>
    </row>
    <row r="5" ht="48" customHeight="1">
      <c r="A5" s="9" t="inlineStr">
        <is>
          <t>S.No</t>
        </is>
      </c>
      <c r="B5" s="9" t="inlineStr">
        <is>
          <t>Section</t>
        </is>
      </c>
      <c r="C5" s="9" t="inlineStr">
        <is>
          <t>Team ID</t>
        </is>
      </c>
      <c r="D5" s="9" t="inlineStr">
        <is>
          <t>Team Name</t>
        </is>
      </c>
      <c r="E5" s="9" t="inlineStr">
        <is>
          <t>Team Members (USN / Name)</t>
        </is>
      </c>
      <c r="F5" s="9" t="inlineStr">
        <is>
          <t>Primary SDG</t>
        </is>
      </c>
      <c r="G5" s="9" t="inlineStr">
        <is>
          <t>Secondary SDG (optional)</t>
        </is>
      </c>
      <c r="H5" s="9" t="inlineStr">
        <is>
          <t>Problem Statement / Project Title</t>
        </is>
      </c>
      <c r="I5" s="47">
        <f>Rubric!C4</f>
        <v/>
      </c>
      <c r="J5" s="47">
        <f>Rubric!C5</f>
        <v/>
      </c>
      <c r="K5" s="47">
        <f>Rubric!C6</f>
        <v/>
      </c>
      <c r="L5" s="47">
        <f>Rubric!C7</f>
        <v/>
      </c>
      <c r="M5" s="47">
        <f>Rubric!C8</f>
        <v/>
      </c>
      <c r="N5" s="47">
        <f>Rubric!C9</f>
        <v/>
      </c>
      <c r="O5" s="47">
        <f>Rubric!C10</f>
        <v/>
      </c>
      <c r="P5" s="47">
        <f>Rubric!C11</f>
        <v/>
      </c>
      <c r="Q5" s="47">
        <f>Rubric!C12</f>
        <v/>
      </c>
      <c r="R5" s="48" t="inlineStr">
        <is>
          <t>Primary SDG strength</t>
        </is>
      </c>
      <c r="S5" s="48" t="inlineStr">
        <is>
          <t>Secondary SDG strength</t>
        </is>
      </c>
      <c r="T5" s="49">
        <f>Rubric!C4</f>
        <v/>
      </c>
      <c r="U5" s="49">
        <f>Rubric!C5</f>
        <v/>
      </c>
      <c r="V5" s="49">
        <f>Rubric!C6</f>
        <v/>
      </c>
      <c r="W5" s="49">
        <f>Rubric!C7</f>
        <v/>
      </c>
      <c r="X5" s="49">
        <f>Rubric!C8</f>
        <v/>
      </c>
      <c r="Y5" s="49">
        <f>Rubric!C9</f>
        <v/>
      </c>
      <c r="Z5" s="49">
        <f>Rubric!C10</f>
        <v/>
      </c>
      <c r="AA5" s="49">
        <f>Rubric!C11</f>
        <v/>
      </c>
      <c r="AB5" s="49">
        <f>Rubric!C12</f>
        <v/>
      </c>
      <c r="AC5" s="48" t="inlineStr">
        <is>
          <t>Primary SDG strength</t>
        </is>
      </c>
      <c r="AD5" s="48" t="inlineStr">
        <is>
          <t>Secondary SDG strength</t>
        </is>
      </c>
      <c r="AE5" s="50">
        <f>Rubric!C4</f>
        <v/>
      </c>
      <c r="AF5" s="50">
        <f>Rubric!C5</f>
        <v/>
      </c>
      <c r="AG5" s="50">
        <f>Rubric!C6</f>
        <v/>
      </c>
      <c r="AH5" s="50">
        <f>Rubric!C7</f>
        <v/>
      </c>
      <c r="AI5" s="50">
        <f>Rubric!C8</f>
        <v/>
      </c>
      <c r="AJ5" s="50">
        <f>Rubric!C9</f>
        <v/>
      </c>
      <c r="AK5" s="50">
        <f>Rubric!C10</f>
        <v/>
      </c>
      <c r="AL5" s="50">
        <f>Rubric!C11</f>
        <v/>
      </c>
      <c r="AM5" s="50">
        <f>Rubric!C12</f>
        <v/>
      </c>
      <c r="AN5" s="48" t="inlineStr">
        <is>
          <t>Primary SDG strength</t>
        </is>
      </c>
      <c r="AO5" s="48" t="inlineStr">
        <is>
          <t>Secondary SDG strength</t>
        </is>
      </c>
      <c r="AP5" s="51">
        <f>Rubric!C4</f>
        <v/>
      </c>
      <c r="AQ5" s="51">
        <f>Rubric!C5</f>
        <v/>
      </c>
      <c r="AR5" s="51">
        <f>Rubric!C6</f>
        <v/>
      </c>
      <c r="AS5" s="51">
        <f>Rubric!C7</f>
        <v/>
      </c>
      <c r="AT5" s="51">
        <f>Rubric!C8</f>
        <v/>
      </c>
      <c r="AU5" s="51">
        <f>Rubric!C9</f>
        <v/>
      </c>
      <c r="AV5" s="51">
        <f>Rubric!C10</f>
        <v/>
      </c>
      <c r="AW5" s="51">
        <f>Rubric!C11</f>
        <v/>
      </c>
      <c r="AX5" s="51">
        <f>Rubric!C12</f>
        <v/>
      </c>
      <c r="AY5" s="48" t="inlineStr">
        <is>
          <t>Primary SDG strength</t>
        </is>
      </c>
      <c r="AZ5" s="48" t="inlineStr">
        <is>
          <t>Secondary SDG strength</t>
        </is>
      </c>
      <c r="BA5" s="7" t="inlineStr">
        <is>
          <t>Total</t>
        </is>
      </c>
      <c r="BB5" s="7" t="inlineStr">
        <is>
          <t>Score %</t>
        </is>
      </c>
      <c r="BC5" s="7" t="inlineStr">
        <is>
          <t>Rank</t>
        </is>
      </c>
      <c r="BD5" s="7" t="inlineStr">
        <is>
          <t>Status</t>
        </is>
      </c>
      <c r="BE5" s="10" t="inlineStr">
        <is>
          <t>PO1</t>
        </is>
      </c>
      <c r="BF5" s="10" t="inlineStr">
        <is>
          <t>PO2</t>
        </is>
      </c>
      <c r="BG5" s="10" t="inlineStr">
        <is>
          <t>PO3</t>
        </is>
      </c>
      <c r="BH5" s="10" t="inlineStr">
        <is>
          <t>PO4</t>
        </is>
      </c>
      <c r="BI5" s="10" t="inlineStr">
        <is>
          <t>PO5</t>
        </is>
      </c>
      <c r="BJ5" s="10" t="inlineStr">
        <is>
          <t>PO6</t>
        </is>
      </c>
      <c r="BK5" s="10" t="inlineStr">
        <is>
          <t>PO7</t>
        </is>
      </c>
      <c r="BL5" s="10" t="inlineStr">
        <is>
          <t>PO8</t>
        </is>
      </c>
      <c r="BM5" s="10" t="inlineStr">
        <is>
          <t>PO9</t>
        </is>
      </c>
      <c r="BN5" s="10" t="inlineStr">
        <is>
          <t>PO10</t>
        </is>
      </c>
      <c r="BO5" s="10" t="inlineStr">
        <is>
          <t>PO11</t>
        </is>
      </c>
      <c r="BP5" s="10" t="inlineStr">
        <is>
          <t>PSO1</t>
        </is>
      </c>
      <c r="BQ5" s="10" t="inlineStr">
        <is>
          <t>PSO2</t>
        </is>
      </c>
    </row>
    <row r="6">
      <c r="A6" s="21" t="n"/>
      <c r="B6" s="21" t="n"/>
      <c r="C6" s="21" t="n"/>
      <c r="D6" s="21" t="n"/>
      <c r="E6" s="21" t="n"/>
      <c r="F6" s="21" t="n"/>
      <c r="G6" s="21" t="n"/>
      <c r="H6" s="21" t="n"/>
      <c r="I6" s="52">
        <f>Rubric!D4</f>
        <v/>
      </c>
      <c r="J6" s="52">
        <f>Rubric!D5</f>
        <v/>
      </c>
      <c r="K6" s="52">
        <f>Rubric!D6</f>
        <v/>
      </c>
      <c r="L6" s="52">
        <f>Rubric!D7</f>
        <v/>
      </c>
      <c r="M6" s="52">
        <f>Rubric!D8</f>
        <v/>
      </c>
      <c r="N6" s="52">
        <f>Rubric!D9</f>
        <v/>
      </c>
      <c r="O6" s="52">
        <f>Rubric!D10</f>
        <v/>
      </c>
      <c r="P6" s="52">
        <f>Rubric!D11</f>
        <v/>
      </c>
      <c r="Q6" s="52">
        <f>Rubric!D12</f>
        <v/>
      </c>
      <c r="R6" s="53" t="inlineStr">
        <is>
          <t>0–3</t>
        </is>
      </c>
      <c r="S6" s="53" t="inlineStr">
        <is>
          <t>0–3</t>
        </is>
      </c>
      <c r="T6" s="54">
        <f>Rubric!D4</f>
        <v/>
      </c>
      <c r="U6" s="54">
        <f>Rubric!D5</f>
        <v/>
      </c>
      <c r="V6" s="54">
        <f>Rubric!D6</f>
        <v/>
      </c>
      <c r="W6" s="54">
        <f>Rubric!D7</f>
        <v/>
      </c>
      <c r="X6" s="54">
        <f>Rubric!D8</f>
        <v/>
      </c>
      <c r="Y6" s="54">
        <f>Rubric!D9</f>
        <v/>
      </c>
      <c r="Z6" s="54">
        <f>Rubric!D10</f>
        <v/>
      </c>
      <c r="AA6" s="54">
        <f>Rubric!D11</f>
        <v/>
      </c>
      <c r="AB6" s="54">
        <f>Rubric!D12</f>
        <v/>
      </c>
      <c r="AC6" s="53" t="inlineStr">
        <is>
          <t>0–3</t>
        </is>
      </c>
      <c r="AD6" s="53" t="inlineStr">
        <is>
          <t>0–3</t>
        </is>
      </c>
      <c r="AE6" s="55">
        <f>Rubric!D4</f>
        <v/>
      </c>
      <c r="AF6" s="55">
        <f>Rubric!D5</f>
        <v/>
      </c>
      <c r="AG6" s="55">
        <f>Rubric!D6</f>
        <v/>
      </c>
      <c r="AH6" s="55">
        <f>Rubric!D7</f>
        <v/>
      </c>
      <c r="AI6" s="55">
        <f>Rubric!D8</f>
        <v/>
      </c>
      <c r="AJ6" s="55">
        <f>Rubric!D9</f>
        <v/>
      </c>
      <c r="AK6" s="55">
        <f>Rubric!D10</f>
        <v/>
      </c>
      <c r="AL6" s="55">
        <f>Rubric!D11</f>
        <v/>
      </c>
      <c r="AM6" s="55">
        <f>Rubric!D12</f>
        <v/>
      </c>
      <c r="AN6" s="53" t="inlineStr">
        <is>
          <t>0–3</t>
        </is>
      </c>
      <c r="AO6" s="53" t="inlineStr">
        <is>
          <t>0–3</t>
        </is>
      </c>
      <c r="AP6" s="56">
        <f>Rubric!D4</f>
        <v/>
      </c>
      <c r="AQ6" s="56">
        <f>Rubric!D5</f>
        <v/>
      </c>
      <c r="AR6" s="56">
        <f>Rubric!D6</f>
        <v/>
      </c>
      <c r="AS6" s="56">
        <f>Rubric!D7</f>
        <v/>
      </c>
      <c r="AT6" s="56">
        <f>Rubric!D8</f>
        <v/>
      </c>
      <c r="AU6" s="56">
        <f>Rubric!D9</f>
        <v/>
      </c>
      <c r="AV6" s="56">
        <f>Rubric!D10</f>
        <v/>
      </c>
      <c r="AW6" s="56">
        <f>Rubric!D11</f>
        <v/>
      </c>
      <c r="AX6" s="56">
        <f>Rubric!D12</f>
        <v/>
      </c>
      <c r="AY6" s="53" t="inlineStr">
        <is>
          <t>0–3</t>
        </is>
      </c>
      <c r="AZ6" s="53" t="inlineStr">
        <is>
          <t>0–3</t>
        </is>
      </c>
      <c r="BA6" s="7">
        <f>Rubric!$D$13</f>
        <v/>
      </c>
      <c r="BB6" s="57" t="inlineStr"/>
      <c r="BC6" s="57" t="inlineStr"/>
      <c r="BD6" s="57" t="inlineStr"/>
      <c r="BE6" s="58" t="inlineStr">
        <is>
          <t>%</t>
        </is>
      </c>
      <c r="BF6" s="58" t="inlineStr">
        <is>
          <t>%</t>
        </is>
      </c>
      <c r="BG6" s="58" t="inlineStr">
        <is>
          <t>%</t>
        </is>
      </c>
      <c r="BH6" s="58" t="inlineStr">
        <is>
          <t>%</t>
        </is>
      </c>
      <c r="BI6" s="58" t="inlineStr">
        <is>
          <t>%</t>
        </is>
      </c>
      <c r="BJ6" s="58" t="inlineStr">
        <is>
          <t>%</t>
        </is>
      </c>
      <c r="BK6" s="58" t="inlineStr">
        <is>
          <t>%</t>
        </is>
      </c>
      <c r="BL6" s="58" t="inlineStr">
        <is>
          <t>%</t>
        </is>
      </c>
      <c r="BM6" s="58" t="inlineStr">
        <is>
          <t>%</t>
        </is>
      </c>
      <c r="BN6" s="58" t="inlineStr">
        <is>
          <t>%</t>
        </is>
      </c>
      <c r="BO6" s="58" t="inlineStr">
        <is>
          <t>%</t>
        </is>
      </c>
      <c r="BP6" s="58" t="inlineStr">
        <is>
          <t>%</t>
        </is>
      </c>
      <c r="BQ6" s="58" t="inlineStr">
        <is>
          <t>%</t>
        </is>
      </c>
    </row>
    <row r="7" ht="30" customHeight="1">
      <c r="A7" s="28" t="n">
        <v>1</v>
      </c>
      <c r="B7" s="29" t="inlineStr">
        <is>
          <t>3rd Sem - A</t>
        </is>
      </c>
      <c r="C7" s="29" t="n"/>
      <c r="D7" s="6" t="n"/>
      <c r="E7" s="6" t="n"/>
      <c r="F7" s="29" t="n"/>
      <c r="G7" s="29" t="n"/>
      <c r="H7" s="6" t="n"/>
      <c r="I7" s="29" t="n"/>
      <c r="J7" s="29" t="n"/>
      <c r="K7" s="29" t="n"/>
      <c r="L7" s="29" t="n"/>
      <c r="M7" s="29" t="n"/>
      <c r="N7" s="29" t="n"/>
      <c r="O7" s="29" t="n"/>
      <c r="P7" s="29" t="n"/>
      <c r="Q7" s="29" t="n"/>
      <c r="R7" s="29" t="n"/>
      <c r="S7" s="29" t="n"/>
      <c r="T7" s="29" t="n"/>
      <c r="U7" s="29" t="n"/>
      <c r="V7" s="29" t="n"/>
      <c r="W7" s="29" t="n"/>
      <c r="X7" s="29" t="n"/>
      <c r="Y7" s="29" t="n"/>
      <c r="Z7" s="29" t="n"/>
      <c r="AA7" s="29" t="n"/>
      <c r="AB7" s="29" t="n"/>
      <c r="AC7" s="29" t="n"/>
      <c r="AD7" s="29" t="n"/>
      <c r="AE7" s="29" t="n"/>
      <c r="AF7" s="29" t="n"/>
      <c r="AG7" s="29" t="n"/>
      <c r="AH7" s="29" t="n"/>
      <c r="AI7" s="29" t="n"/>
      <c r="AJ7" s="29" t="n"/>
      <c r="AK7" s="29" t="n"/>
      <c r="AL7" s="29" t="n"/>
      <c r="AM7" s="29" t="n"/>
      <c r="AN7" s="29" t="n"/>
      <c r="AO7" s="29" t="n"/>
      <c r="AP7" s="59">
        <f>IF(COUNT(I7,T7,AE7)=0,"",AVERAGE(I7,T7,AE7))</f>
        <v/>
      </c>
      <c r="AQ7" s="59">
        <f>IF(COUNT(J7,U7,AF7)=0,"",AVERAGE(J7,U7,AF7))</f>
        <v/>
      </c>
      <c r="AR7" s="59">
        <f>IF(COUNT(K7,V7,AG7)=0,"",AVERAGE(K7,V7,AG7))</f>
        <v/>
      </c>
      <c r="AS7" s="59">
        <f>IF(COUNT(L7,W7,AH7)=0,"",AVERAGE(L7,W7,AH7))</f>
        <v/>
      </c>
      <c r="AT7" s="59">
        <f>IF(COUNT(M7,X7,AI7)=0,"",AVERAGE(M7,X7,AI7))</f>
        <v/>
      </c>
      <c r="AU7" s="59">
        <f>IF(COUNT(N7,Y7,AJ7)=0,"",AVERAGE(N7,Y7,AJ7))</f>
        <v/>
      </c>
      <c r="AV7" s="59">
        <f>IF(COUNT(O7,Z7,AK7)=0,"",AVERAGE(O7,Z7,AK7))</f>
        <v/>
      </c>
      <c r="AW7" s="59">
        <f>IF(COUNT(P7,AA7,AL7)=0,"",AVERAGE(P7,AA7,AL7))</f>
        <v/>
      </c>
      <c r="AX7" s="59">
        <f>IF(COUNT(Q7,AB7,AM7)=0,"",AVERAGE(Q7,AB7,AM7))</f>
        <v/>
      </c>
      <c r="AY7" s="60">
        <f>IF(OR($F7="",COUNT(R7,AC7,AN7)=0),"",AVERAGE(R7,AC7,AN7))</f>
        <v/>
      </c>
      <c r="AZ7" s="60">
        <f>IF(OR($G7="",$G7=$F7,COUNT(S7,AD7,AO7)=0),"",AVERAGE(S7,AD7,AO7))</f>
        <v/>
      </c>
      <c r="BA7" s="61">
        <f>IF(COUNT(AP7:AX7)=0,"",SUM(AP7:AX7))</f>
        <v/>
      </c>
      <c r="BB7" s="62">
        <f>IF(BA7="","",BA7/BA$6)</f>
        <v/>
      </c>
      <c r="BC7" s="14">
        <f>IF(BR7="","",COUNTIF($BR$7:$BR$26,"&gt;"&amp;BR7)+COUNTIF($BR$7:BR7,BR7))</f>
        <v/>
      </c>
      <c r="BD7" s="63">
        <f>IF(BC7="","",IF(BC7&lt;=Mapping!$C$11,"Shortlisted","Not shortlisted"))</f>
        <v/>
      </c>
      <c r="BE7" s="64">
        <f>IFERROR((AP7/AP$6*Mapping!$D$15+AQ7/AQ$6*Mapping!$D$16+AR7/AR$6*Mapping!$D$17+AS7/AS$6*Mapping!$D$18+AT7/AT$6*Mapping!$D$19+AU7/AU$6*Mapping!$D$20+AV7/AV$6*Mapping!$D$21+AW7/AW$6*Mapping!$D$22+AX7/AX$6*Mapping!$D$23)/SUM(Mapping!$D$15:$D$23),"")</f>
        <v/>
      </c>
      <c r="BF7" s="64">
        <f>IFERROR((AP7/AP$6*Mapping!$E$15+AQ7/AQ$6*Mapping!$E$16+AR7/AR$6*Mapping!$E$17+AS7/AS$6*Mapping!$E$18+AT7/AT$6*Mapping!$E$19+AU7/AU$6*Mapping!$E$20+AV7/AV$6*Mapping!$E$21+AW7/AW$6*Mapping!$E$22+AX7/AX$6*Mapping!$E$23)/SUM(Mapping!$E$15:$E$23),"")</f>
        <v/>
      </c>
      <c r="BG7" s="64">
        <f>IFERROR((AP7/AP$6*Mapping!$F$15+AQ7/AQ$6*Mapping!$F$16+AR7/AR$6*Mapping!$F$17+AS7/AS$6*Mapping!$F$18+AT7/AT$6*Mapping!$F$19+AU7/AU$6*Mapping!$F$20+AV7/AV$6*Mapping!$F$21+AW7/AW$6*Mapping!$F$22+AX7/AX$6*Mapping!$F$23)/SUM(Mapping!$F$15:$F$23),"")</f>
        <v/>
      </c>
      <c r="BH7" s="64">
        <f>IFERROR((AP7/AP$6*Mapping!$G$15+AQ7/AQ$6*Mapping!$G$16+AR7/AR$6*Mapping!$G$17+AS7/AS$6*Mapping!$G$18+AT7/AT$6*Mapping!$G$19+AU7/AU$6*Mapping!$G$20+AV7/AV$6*Mapping!$G$21+AW7/AW$6*Mapping!$G$22+AX7/AX$6*Mapping!$G$23)/SUM(Mapping!$G$15:$G$23),"")</f>
        <v/>
      </c>
      <c r="BI7" s="64">
        <f>IFERROR((AP7/AP$6*Mapping!$H$15+AQ7/AQ$6*Mapping!$H$16+AR7/AR$6*Mapping!$H$17+AS7/AS$6*Mapping!$H$18+AT7/AT$6*Mapping!$H$19+AU7/AU$6*Mapping!$H$20+AV7/AV$6*Mapping!$H$21+AW7/AW$6*Mapping!$H$22+AX7/AX$6*Mapping!$H$23)/SUM(Mapping!$H$15:$H$23),"")</f>
        <v/>
      </c>
      <c r="BJ7" s="64">
        <f>IFERROR((AP7/AP$6*Mapping!$I$15+AQ7/AQ$6*Mapping!$I$16+AR7/AR$6*Mapping!$I$17+AS7/AS$6*Mapping!$I$18+AT7/AT$6*Mapping!$I$19+AU7/AU$6*Mapping!$I$20+AV7/AV$6*Mapping!$I$21+AW7/AW$6*Mapping!$I$22+AX7/AX$6*Mapping!$I$23)/SUM(Mapping!$I$15:$I$23),"")</f>
        <v/>
      </c>
      <c r="BK7" s="64">
        <f>IFERROR((AP7/AP$6*Mapping!$J$15+AQ7/AQ$6*Mapping!$J$16+AR7/AR$6*Mapping!$J$17+AS7/AS$6*Mapping!$J$18+AT7/AT$6*Mapping!$J$19+AU7/AU$6*Mapping!$J$20+AV7/AV$6*Mapping!$J$21+AW7/AW$6*Mapping!$J$22+AX7/AX$6*Mapping!$J$23)/SUM(Mapping!$J$15:$J$23),"")</f>
        <v/>
      </c>
      <c r="BL7" s="64">
        <f>IFERROR((AP7/AP$6*Mapping!$K$15+AQ7/AQ$6*Mapping!$K$16+AR7/AR$6*Mapping!$K$17+AS7/AS$6*Mapping!$K$18+AT7/AT$6*Mapping!$K$19+AU7/AU$6*Mapping!$K$20+AV7/AV$6*Mapping!$K$21+AW7/AW$6*Mapping!$K$22+AX7/AX$6*Mapping!$K$23)/SUM(Mapping!$K$15:$K$23),"")</f>
        <v/>
      </c>
      <c r="BM7" s="64">
        <f>IFERROR((AP7/AP$6*Mapping!$L$15+AQ7/AQ$6*Mapping!$L$16+AR7/AR$6*Mapping!$L$17+AS7/AS$6*Mapping!$L$18+AT7/AT$6*Mapping!$L$19+AU7/AU$6*Mapping!$L$20+AV7/AV$6*Mapping!$L$21+AW7/AW$6*Mapping!$L$22+AX7/AX$6*Mapping!$L$23)/SUM(Mapping!$L$15:$L$23),"")</f>
        <v/>
      </c>
      <c r="BN7" s="64">
        <f>IFERROR((AP7/AP$6*Mapping!$M$15+AQ7/AQ$6*Mapping!$M$16+AR7/AR$6*Mapping!$M$17+AS7/AS$6*Mapping!$M$18+AT7/AT$6*Mapping!$M$19+AU7/AU$6*Mapping!$M$20+AV7/AV$6*Mapping!$M$21+AW7/AW$6*Mapping!$M$22+AX7/AX$6*Mapping!$M$23)/SUM(Mapping!$M$15:$M$23),"")</f>
        <v/>
      </c>
      <c r="BO7" s="64">
        <f>IFERROR((AP7/AP$6*Mapping!$N$15+AQ7/AQ$6*Mapping!$N$16+AR7/AR$6*Mapping!$N$17+AS7/AS$6*Mapping!$N$18+AT7/AT$6*Mapping!$N$19+AU7/AU$6*Mapping!$N$20+AV7/AV$6*Mapping!$N$21+AW7/AW$6*Mapping!$N$22+AX7/AX$6*Mapping!$N$23)/SUM(Mapping!$N$15:$N$23),"")</f>
        <v/>
      </c>
      <c r="BP7" s="64">
        <f>IFERROR((AP7/AP$6*Mapping!$O$15+AQ7/AQ$6*Mapping!$O$16+AR7/AR$6*Mapping!$O$17+AS7/AS$6*Mapping!$O$18+AT7/AT$6*Mapping!$O$19+AU7/AU$6*Mapping!$O$20+AV7/AV$6*Mapping!$O$21+AW7/AW$6*Mapping!$O$22+AX7/AX$6*Mapping!$O$23)/SUM(Mapping!$O$15:$O$23),"")</f>
        <v/>
      </c>
      <c r="BQ7" s="64">
        <f>IFERROR((AP7/AP$6*Mapping!$P$15+AQ7/AQ$6*Mapping!$P$16+AR7/AR$6*Mapping!$P$17+AS7/AS$6*Mapping!$P$18+AT7/AT$6*Mapping!$P$19+AU7/AU$6*Mapping!$P$20+AV7/AV$6*Mapping!$P$21+AW7/AW$6*Mapping!$P$22+AX7/AX$6*Mapping!$P$23)/SUM(Mapping!$P$15:$P$23),"")</f>
        <v/>
      </c>
      <c r="BR7" s="65">
        <f>IF(BA7="","",BA7+N(AS7)/10000)</f>
        <v/>
      </c>
    </row>
    <row r="8" ht="30" customHeight="1">
      <c r="A8" s="28" t="n">
        <v>2</v>
      </c>
      <c r="B8" s="29" t="inlineStr">
        <is>
          <t>3rd Sem - A</t>
        </is>
      </c>
      <c r="C8" s="29" t="n"/>
      <c r="D8" s="6" t="n"/>
      <c r="E8" s="6" t="n"/>
      <c r="F8" s="29" t="n"/>
      <c r="G8" s="29" t="n"/>
      <c r="H8" s="6" t="n"/>
      <c r="I8" s="29" t="n"/>
      <c r="J8" s="29" t="n"/>
      <c r="K8" s="29" t="n"/>
      <c r="L8" s="29" t="n"/>
      <c r="M8" s="29" t="n"/>
      <c r="N8" s="29" t="n"/>
      <c r="O8" s="29" t="n"/>
      <c r="P8" s="29" t="n"/>
      <c r="Q8" s="29" t="n"/>
      <c r="R8" s="29" t="n"/>
      <c r="S8" s="29" t="n"/>
      <c r="T8" s="29" t="n"/>
      <c r="U8" s="29" t="n"/>
      <c r="V8" s="29" t="n"/>
      <c r="W8" s="29" t="n"/>
      <c r="X8" s="29" t="n"/>
      <c r="Y8" s="29" t="n"/>
      <c r="Z8" s="29" t="n"/>
      <c r="AA8" s="29" t="n"/>
      <c r="AB8" s="29" t="n"/>
      <c r="AC8" s="29" t="n"/>
      <c r="AD8" s="29" t="n"/>
      <c r="AE8" s="29" t="n"/>
      <c r="AF8" s="29" t="n"/>
      <c r="AG8" s="29" t="n"/>
      <c r="AH8" s="29" t="n"/>
      <c r="AI8" s="29" t="n"/>
      <c r="AJ8" s="29" t="n"/>
      <c r="AK8" s="29" t="n"/>
      <c r="AL8" s="29" t="n"/>
      <c r="AM8" s="29" t="n"/>
      <c r="AN8" s="29" t="n"/>
      <c r="AO8" s="29" t="n"/>
      <c r="AP8" s="59">
        <f>IF(COUNT(I8,T8,AE8)=0,"",AVERAGE(I8,T8,AE8))</f>
        <v/>
      </c>
      <c r="AQ8" s="59">
        <f>IF(COUNT(J8,U8,AF8)=0,"",AVERAGE(J8,U8,AF8))</f>
        <v/>
      </c>
      <c r="AR8" s="59">
        <f>IF(COUNT(K8,V8,AG8)=0,"",AVERAGE(K8,V8,AG8))</f>
        <v/>
      </c>
      <c r="AS8" s="59">
        <f>IF(COUNT(L8,W8,AH8)=0,"",AVERAGE(L8,W8,AH8))</f>
        <v/>
      </c>
      <c r="AT8" s="59">
        <f>IF(COUNT(M8,X8,AI8)=0,"",AVERAGE(M8,X8,AI8))</f>
        <v/>
      </c>
      <c r="AU8" s="59">
        <f>IF(COUNT(N8,Y8,AJ8)=0,"",AVERAGE(N8,Y8,AJ8))</f>
        <v/>
      </c>
      <c r="AV8" s="59">
        <f>IF(COUNT(O8,Z8,AK8)=0,"",AVERAGE(O8,Z8,AK8))</f>
        <v/>
      </c>
      <c r="AW8" s="59">
        <f>IF(COUNT(P8,AA8,AL8)=0,"",AVERAGE(P8,AA8,AL8))</f>
        <v/>
      </c>
      <c r="AX8" s="59">
        <f>IF(COUNT(Q8,AB8,AM8)=0,"",AVERAGE(Q8,AB8,AM8))</f>
        <v/>
      </c>
      <c r="AY8" s="60">
        <f>IF(OR($F8="",COUNT(R8,AC8,AN8)=0),"",AVERAGE(R8,AC8,AN8))</f>
        <v/>
      </c>
      <c r="AZ8" s="60">
        <f>IF(OR($G8="",$G8=$F8,COUNT(S8,AD8,AO8)=0),"",AVERAGE(S8,AD8,AO8))</f>
        <v/>
      </c>
      <c r="BA8" s="61">
        <f>IF(COUNT(AP8:AX8)=0,"",SUM(AP8:AX8))</f>
        <v/>
      </c>
      <c r="BB8" s="62">
        <f>IF(BA8="","",BA8/BA$6)</f>
        <v/>
      </c>
      <c r="BC8" s="14">
        <f>IF(BR8="","",COUNTIF($BR$7:$BR$26,"&gt;"&amp;BR8)+COUNTIF($BR$7:BR8,BR8))</f>
        <v/>
      </c>
      <c r="BD8" s="63">
        <f>IF(BC8="","",IF(BC8&lt;=Mapping!$C$11,"Shortlisted","Not shortlisted"))</f>
        <v/>
      </c>
      <c r="BE8" s="64">
        <f>IFERROR((AP8/AP$6*Mapping!$D$15+AQ8/AQ$6*Mapping!$D$16+AR8/AR$6*Mapping!$D$17+AS8/AS$6*Mapping!$D$18+AT8/AT$6*Mapping!$D$19+AU8/AU$6*Mapping!$D$20+AV8/AV$6*Mapping!$D$21+AW8/AW$6*Mapping!$D$22+AX8/AX$6*Mapping!$D$23)/SUM(Mapping!$D$15:$D$23),"")</f>
        <v/>
      </c>
      <c r="BF8" s="64">
        <f>IFERROR((AP8/AP$6*Mapping!$E$15+AQ8/AQ$6*Mapping!$E$16+AR8/AR$6*Mapping!$E$17+AS8/AS$6*Mapping!$E$18+AT8/AT$6*Mapping!$E$19+AU8/AU$6*Mapping!$E$20+AV8/AV$6*Mapping!$E$21+AW8/AW$6*Mapping!$E$22+AX8/AX$6*Mapping!$E$23)/SUM(Mapping!$E$15:$E$23),"")</f>
        <v/>
      </c>
      <c r="BG8" s="64">
        <f>IFERROR((AP8/AP$6*Mapping!$F$15+AQ8/AQ$6*Mapping!$F$16+AR8/AR$6*Mapping!$F$17+AS8/AS$6*Mapping!$F$18+AT8/AT$6*Mapping!$F$19+AU8/AU$6*Mapping!$F$20+AV8/AV$6*Mapping!$F$21+AW8/AW$6*Mapping!$F$22+AX8/AX$6*Mapping!$F$23)/SUM(Mapping!$F$15:$F$23),"")</f>
        <v/>
      </c>
      <c r="BH8" s="64">
        <f>IFERROR((AP8/AP$6*Mapping!$G$15+AQ8/AQ$6*Mapping!$G$16+AR8/AR$6*Mapping!$G$17+AS8/AS$6*Mapping!$G$18+AT8/AT$6*Mapping!$G$19+AU8/AU$6*Mapping!$G$20+AV8/AV$6*Mapping!$G$21+AW8/AW$6*Mapping!$G$22+AX8/AX$6*Mapping!$G$23)/SUM(Mapping!$G$15:$G$23),"")</f>
        <v/>
      </c>
      <c r="BI8" s="64">
        <f>IFERROR((AP8/AP$6*Mapping!$H$15+AQ8/AQ$6*Mapping!$H$16+AR8/AR$6*Mapping!$H$17+AS8/AS$6*Mapping!$H$18+AT8/AT$6*Mapping!$H$19+AU8/AU$6*Mapping!$H$20+AV8/AV$6*Mapping!$H$21+AW8/AW$6*Mapping!$H$22+AX8/AX$6*Mapping!$H$23)/SUM(Mapping!$H$15:$H$23),"")</f>
        <v/>
      </c>
      <c r="BJ8" s="64">
        <f>IFERROR((AP8/AP$6*Mapping!$I$15+AQ8/AQ$6*Mapping!$I$16+AR8/AR$6*Mapping!$I$17+AS8/AS$6*Mapping!$I$18+AT8/AT$6*Mapping!$I$19+AU8/AU$6*Mapping!$I$20+AV8/AV$6*Mapping!$I$21+AW8/AW$6*Mapping!$I$22+AX8/AX$6*Mapping!$I$23)/SUM(Mapping!$I$15:$I$23),"")</f>
        <v/>
      </c>
      <c r="BK8" s="64">
        <f>IFERROR((AP8/AP$6*Mapping!$J$15+AQ8/AQ$6*Mapping!$J$16+AR8/AR$6*Mapping!$J$17+AS8/AS$6*Mapping!$J$18+AT8/AT$6*Mapping!$J$19+AU8/AU$6*Mapping!$J$20+AV8/AV$6*Mapping!$J$21+AW8/AW$6*Mapping!$J$22+AX8/AX$6*Mapping!$J$23)/SUM(Mapping!$J$15:$J$23),"")</f>
        <v/>
      </c>
      <c r="BL8" s="64">
        <f>IFERROR((AP8/AP$6*Mapping!$K$15+AQ8/AQ$6*Mapping!$K$16+AR8/AR$6*Mapping!$K$17+AS8/AS$6*Mapping!$K$18+AT8/AT$6*Mapping!$K$19+AU8/AU$6*Mapping!$K$20+AV8/AV$6*Mapping!$K$21+AW8/AW$6*Mapping!$K$22+AX8/AX$6*Mapping!$K$23)/SUM(Mapping!$K$15:$K$23),"")</f>
        <v/>
      </c>
      <c r="BM8" s="64">
        <f>IFERROR((AP8/AP$6*Mapping!$L$15+AQ8/AQ$6*Mapping!$L$16+AR8/AR$6*Mapping!$L$17+AS8/AS$6*Mapping!$L$18+AT8/AT$6*Mapping!$L$19+AU8/AU$6*Mapping!$L$20+AV8/AV$6*Mapping!$L$21+AW8/AW$6*Mapping!$L$22+AX8/AX$6*Mapping!$L$23)/SUM(Mapping!$L$15:$L$23),"")</f>
        <v/>
      </c>
      <c r="BN8" s="64">
        <f>IFERROR((AP8/AP$6*Mapping!$M$15+AQ8/AQ$6*Mapping!$M$16+AR8/AR$6*Mapping!$M$17+AS8/AS$6*Mapping!$M$18+AT8/AT$6*Mapping!$M$19+AU8/AU$6*Mapping!$M$20+AV8/AV$6*Mapping!$M$21+AW8/AW$6*Mapping!$M$22+AX8/AX$6*Mapping!$M$23)/SUM(Mapping!$M$15:$M$23),"")</f>
        <v/>
      </c>
      <c r="BO8" s="64">
        <f>IFERROR((AP8/AP$6*Mapping!$N$15+AQ8/AQ$6*Mapping!$N$16+AR8/AR$6*Mapping!$N$17+AS8/AS$6*Mapping!$N$18+AT8/AT$6*Mapping!$N$19+AU8/AU$6*Mapping!$N$20+AV8/AV$6*Mapping!$N$21+AW8/AW$6*Mapping!$N$22+AX8/AX$6*Mapping!$N$23)/SUM(Mapping!$N$15:$N$23),"")</f>
        <v/>
      </c>
      <c r="BP8" s="64">
        <f>IFERROR((AP8/AP$6*Mapping!$O$15+AQ8/AQ$6*Mapping!$O$16+AR8/AR$6*Mapping!$O$17+AS8/AS$6*Mapping!$O$18+AT8/AT$6*Mapping!$O$19+AU8/AU$6*Mapping!$O$20+AV8/AV$6*Mapping!$O$21+AW8/AW$6*Mapping!$O$22+AX8/AX$6*Mapping!$O$23)/SUM(Mapping!$O$15:$O$23),"")</f>
        <v/>
      </c>
      <c r="BQ8" s="64">
        <f>IFERROR((AP8/AP$6*Mapping!$P$15+AQ8/AQ$6*Mapping!$P$16+AR8/AR$6*Mapping!$P$17+AS8/AS$6*Mapping!$P$18+AT8/AT$6*Mapping!$P$19+AU8/AU$6*Mapping!$P$20+AV8/AV$6*Mapping!$P$21+AW8/AW$6*Mapping!$P$22+AX8/AX$6*Mapping!$P$23)/SUM(Mapping!$P$15:$P$23),"")</f>
        <v/>
      </c>
      <c r="BR8" s="65">
        <f>IF(BA8="","",BA8+N(AS8)/10000)</f>
        <v/>
      </c>
    </row>
    <row r="9" ht="30" customHeight="1">
      <c r="A9" s="28" t="n">
        <v>3</v>
      </c>
      <c r="B9" s="29" t="inlineStr">
        <is>
          <t>3rd Sem - A</t>
        </is>
      </c>
      <c r="C9" s="29" t="n"/>
      <c r="D9" s="6" t="n"/>
      <c r="E9" s="6" t="n"/>
      <c r="F9" s="29" t="n"/>
      <c r="G9" s="29" t="n"/>
      <c r="H9" s="6" t="n"/>
      <c r="I9" s="29" t="n"/>
      <c r="J9" s="29" t="n"/>
      <c r="K9" s="29" t="n"/>
      <c r="L9" s="29" t="n"/>
      <c r="M9" s="29" t="n"/>
      <c r="N9" s="29" t="n"/>
      <c r="O9" s="29" t="n"/>
      <c r="P9" s="29" t="n"/>
      <c r="Q9" s="29" t="n"/>
      <c r="R9" s="29" t="n"/>
      <c r="S9" s="29" t="n"/>
      <c r="T9" s="29" t="n"/>
      <c r="U9" s="29" t="n"/>
      <c r="V9" s="29" t="n"/>
      <c r="W9" s="29" t="n"/>
      <c r="X9" s="29" t="n"/>
      <c r="Y9" s="29" t="n"/>
      <c r="Z9" s="29" t="n"/>
      <c r="AA9" s="29" t="n"/>
      <c r="AB9" s="29" t="n"/>
      <c r="AC9" s="29" t="n"/>
      <c r="AD9" s="29" t="n"/>
      <c r="AE9" s="29" t="n"/>
      <c r="AF9" s="29" t="n"/>
      <c r="AG9" s="29" t="n"/>
      <c r="AH9" s="29" t="n"/>
      <c r="AI9" s="29" t="n"/>
      <c r="AJ9" s="29" t="n"/>
      <c r="AK9" s="29" t="n"/>
      <c r="AL9" s="29" t="n"/>
      <c r="AM9" s="29" t="n"/>
      <c r="AN9" s="29" t="n"/>
      <c r="AO9" s="29" t="n"/>
      <c r="AP9" s="59">
        <f>IF(COUNT(I9,T9,AE9)=0,"",AVERAGE(I9,T9,AE9))</f>
        <v/>
      </c>
      <c r="AQ9" s="59">
        <f>IF(COUNT(J9,U9,AF9)=0,"",AVERAGE(J9,U9,AF9))</f>
        <v/>
      </c>
      <c r="AR9" s="59">
        <f>IF(COUNT(K9,V9,AG9)=0,"",AVERAGE(K9,V9,AG9))</f>
        <v/>
      </c>
      <c r="AS9" s="59">
        <f>IF(COUNT(L9,W9,AH9)=0,"",AVERAGE(L9,W9,AH9))</f>
        <v/>
      </c>
      <c r="AT9" s="59">
        <f>IF(COUNT(M9,X9,AI9)=0,"",AVERAGE(M9,X9,AI9))</f>
        <v/>
      </c>
      <c r="AU9" s="59">
        <f>IF(COUNT(N9,Y9,AJ9)=0,"",AVERAGE(N9,Y9,AJ9))</f>
        <v/>
      </c>
      <c r="AV9" s="59">
        <f>IF(COUNT(O9,Z9,AK9)=0,"",AVERAGE(O9,Z9,AK9))</f>
        <v/>
      </c>
      <c r="AW9" s="59">
        <f>IF(COUNT(P9,AA9,AL9)=0,"",AVERAGE(P9,AA9,AL9))</f>
        <v/>
      </c>
      <c r="AX9" s="59">
        <f>IF(COUNT(Q9,AB9,AM9)=0,"",AVERAGE(Q9,AB9,AM9))</f>
        <v/>
      </c>
      <c r="AY9" s="60">
        <f>IF(OR($F9="",COUNT(R9,AC9,AN9)=0),"",AVERAGE(R9,AC9,AN9))</f>
        <v/>
      </c>
      <c r="AZ9" s="60">
        <f>IF(OR($G9="",$G9=$F9,COUNT(S9,AD9,AO9)=0),"",AVERAGE(S9,AD9,AO9))</f>
        <v/>
      </c>
      <c r="BA9" s="61">
        <f>IF(COUNT(AP9:AX9)=0,"",SUM(AP9:AX9))</f>
        <v/>
      </c>
      <c r="BB9" s="62">
        <f>IF(BA9="","",BA9/BA$6)</f>
        <v/>
      </c>
      <c r="BC9" s="14">
        <f>IF(BR9="","",COUNTIF($BR$7:$BR$26,"&gt;"&amp;BR9)+COUNTIF($BR$7:BR9,BR9))</f>
        <v/>
      </c>
      <c r="BD9" s="63">
        <f>IF(BC9="","",IF(BC9&lt;=Mapping!$C$11,"Shortlisted","Not shortlisted"))</f>
        <v/>
      </c>
      <c r="BE9" s="64">
        <f>IFERROR((AP9/AP$6*Mapping!$D$15+AQ9/AQ$6*Mapping!$D$16+AR9/AR$6*Mapping!$D$17+AS9/AS$6*Mapping!$D$18+AT9/AT$6*Mapping!$D$19+AU9/AU$6*Mapping!$D$20+AV9/AV$6*Mapping!$D$21+AW9/AW$6*Mapping!$D$22+AX9/AX$6*Mapping!$D$23)/SUM(Mapping!$D$15:$D$23),"")</f>
        <v/>
      </c>
      <c r="BF9" s="64">
        <f>IFERROR((AP9/AP$6*Mapping!$E$15+AQ9/AQ$6*Mapping!$E$16+AR9/AR$6*Mapping!$E$17+AS9/AS$6*Mapping!$E$18+AT9/AT$6*Mapping!$E$19+AU9/AU$6*Mapping!$E$20+AV9/AV$6*Mapping!$E$21+AW9/AW$6*Mapping!$E$22+AX9/AX$6*Mapping!$E$23)/SUM(Mapping!$E$15:$E$23),"")</f>
        <v/>
      </c>
      <c r="BG9" s="64">
        <f>IFERROR((AP9/AP$6*Mapping!$F$15+AQ9/AQ$6*Mapping!$F$16+AR9/AR$6*Mapping!$F$17+AS9/AS$6*Mapping!$F$18+AT9/AT$6*Mapping!$F$19+AU9/AU$6*Mapping!$F$20+AV9/AV$6*Mapping!$F$21+AW9/AW$6*Mapping!$F$22+AX9/AX$6*Mapping!$F$23)/SUM(Mapping!$F$15:$F$23),"")</f>
        <v/>
      </c>
      <c r="BH9" s="64">
        <f>IFERROR((AP9/AP$6*Mapping!$G$15+AQ9/AQ$6*Mapping!$G$16+AR9/AR$6*Mapping!$G$17+AS9/AS$6*Mapping!$G$18+AT9/AT$6*Mapping!$G$19+AU9/AU$6*Mapping!$G$20+AV9/AV$6*Mapping!$G$21+AW9/AW$6*Mapping!$G$22+AX9/AX$6*Mapping!$G$23)/SUM(Mapping!$G$15:$G$23),"")</f>
        <v/>
      </c>
      <c r="BI9" s="64">
        <f>IFERROR((AP9/AP$6*Mapping!$H$15+AQ9/AQ$6*Mapping!$H$16+AR9/AR$6*Mapping!$H$17+AS9/AS$6*Mapping!$H$18+AT9/AT$6*Mapping!$H$19+AU9/AU$6*Mapping!$H$20+AV9/AV$6*Mapping!$H$21+AW9/AW$6*Mapping!$H$22+AX9/AX$6*Mapping!$H$23)/SUM(Mapping!$H$15:$H$23),"")</f>
        <v/>
      </c>
      <c r="BJ9" s="64">
        <f>IFERROR((AP9/AP$6*Mapping!$I$15+AQ9/AQ$6*Mapping!$I$16+AR9/AR$6*Mapping!$I$17+AS9/AS$6*Mapping!$I$18+AT9/AT$6*Mapping!$I$19+AU9/AU$6*Mapping!$I$20+AV9/AV$6*Mapping!$I$21+AW9/AW$6*Mapping!$I$22+AX9/AX$6*Mapping!$I$23)/SUM(Mapping!$I$15:$I$23),"")</f>
        <v/>
      </c>
      <c r="BK9" s="64">
        <f>IFERROR((AP9/AP$6*Mapping!$J$15+AQ9/AQ$6*Mapping!$J$16+AR9/AR$6*Mapping!$J$17+AS9/AS$6*Mapping!$J$18+AT9/AT$6*Mapping!$J$19+AU9/AU$6*Mapping!$J$20+AV9/AV$6*Mapping!$J$21+AW9/AW$6*Mapping!$J$22+AX9/AX$6*Mapping!$J$23)/SUM(Mapping!$J$15:$J$23),"")</f>
        <v/>
      </c>
      <c r="BL9" s="64">
        <f>IFERROR((AP9/AP$6*Mapping!$K$15+AQ9/AQ$6*Mapping!$K$16+AR9/AR$6*Mapping!$K$17+AS9/AS$6*Mapping!$K$18+AT9/AT$6*Mapping!$K$19+AU9/AU$6*Mapping!$K$20+AV9/AV$6*Mapping!$K$21+AW9/AW$6*Mapping!$K$22+AX9/AX$6*Mapping!$K$23)/SUM(Mapping!$K$15:$K$23),"")</f>
        <v/>
      </c>
      <c r="BM9" s="64">
        <f>IFERROR((AP9/AP$6*Mapping!$L$15+AQ9/AQ$6*Mapping!$L$16+AR9/AR$6*Mapping!$L$17+AS9/AS$6*Mapping!$L$18+AT9/AT$6*Mapping!$L$19+AU9/AU$6*Mapping!$L$20+AV9/AV$6*Mapping!$L$21+AW9/AW$6*Mapping!$L$22+AX9/AX$6*Mapping!$L$23)/SUM(Mapping!$L$15:$L$23),"")</f>
        <v/>
      </c>
      <c r="BN9" s="64">
        <f>IFERROR((AP9/AP$6*Mapping!$M$15+AQ9/AQ$6*Mapping!$M$16+AR9/AR$6*Mapping!$M$17+AS9/AS$6*Mapping!$M$18+AT9/AT$6*Mapping!$M$19+AU9/AU$6*Mapping!$M$20+AV9/AV$6*Mapping!$M$21+AW9/AW$6*Mapping!$M$22+AX9/AX$6*Mapping!$M$23)/SUM(Mapping!$M$15:$M$23),"")</f>
        <v/>
      </c>
      <c r="BO9" s="64">
        <f>IFERROR((AP9/AP$6*Mapping!$N$15+AQ9/AQ$6*Mapping!$N$16+AR9/AR$6*Mapping!$N$17+AS9/AS$6*Mapping!$N$18+AT9/AT$6*Mapping!$N$19+AU9/AU$6*Mapping!$N$20+AV9/AV$6*Mapping!$N$21+AW9/AW$6*Mapping!$N$22+AX9/AX$6*Mapping!$N$23)/SUM(Mapping!$N$15:$N$23),"")</f>
        <v/>
      </c>
      <c r="BP9" s="64">
        <f>IFERROR((AP9/AP$6*Mapping!$O$15+AQ9/AQ$6*Mapping!$O$16+AR9/AR$6*Mapping!$O$17+AS9/AS$6*Mapping!$O$18+AT9/AT$6*Mapping!$O$19+AU9/AU$6*Mapping!$O$20+AV9/AV$6*Mapping!$O$21+AW9/AW$6*Mapping!$O$22+AX9/AX$6*Mapping!$O$23)/SUM(Mapping!$O$15:$O$23),"")</f>
        <v/>
      </c>
      <c r="BQ9" s="64">
        <f>IFERROR((AP9/AP$6*Mapping!$P$15+AQ9/AQ$6*Mapping!$P$16+AR9/AR$6*Mapping!$P$17+AS9/AS$6*Mapping!$P$18+AT9/AT$6*Mapping!$P$19+AU9/AU$6*Mapping!$P$20+AV9/AV$6*Mapping!$P$21+AW9/AW$6*Mapping!$P$22+AX9/AX$6*Mapping!$P$23)/SUM(Mapping!$P$15:$P$23),"")</f>
        <v/>
      </c>
      <c r="BR9" s="65">
        <f>IF(BA9="","",BA9+N(AS9)/10000)</f>
        <v/>
      </c>
    </row>
    <row r="10" ht="30" customHeight="1">
      <c r="A10" s="28" t="n">
        <v>4</v>
      </c>
      <c r="B10" s="29" t="inlineStr">
        <is>
          <t>3rd Sem - A</t>
        </is>
      </c>
      <c r="C10" s="29" t="n"/>
      <c r="D10" s="6" t="n"/>
      <c r="E10" s="6" t="n"/>
      <c r="F10" s="29" t="n"/>
      <c r="G10" s="29" t="n"/>
      <c r="H10" s="6" t="n"/>
      <c r="I10" s="29" t="n"/>
      <c r="J10" s="29" t="n"/>
      <c r="K10" s="29" t="n"/>
      <c r="L10" s="29" t="n"/>
      <c r="M10" s="29" t="n"/>
      <c r="N10" s="29" t="n"/>
      <c r="O10" s="29" t="n"/>
      <c r="P10" s="29" t="n"/>
      <c r="Q10" s="29" t="n"/>
      <c r="R10" s="29" t="n"/>
      <c r="S10" s="29" t="n"/>
      <c r="T10" s="29" t="n"/>
      <c r="U10" s="29" t="n"/>
      <c r="V10" s="29" t="n"/>
      <c r="W10" s="29" t="n"/>
      <c r="X10" s="29" t="n"/>
      <c r="Y10" s="29" t="n"/>
      <c r="Z10" s="29" t="n"/>
      <c r="AA10" s="29" t="n"/>
      <c r="AB10" s="29" t="n"/>
      <c r="AC10" s="29" t="n"/>
      <c r="AD10" s="29" t="n"/>
      <c r="AE10" s="29" t="n"/>
      <c r="AF10" s="29" t="n"/>
      <c r="AG10" s="29" t="n"/>
      <c r="AH10" s="29" t="n"/>
      <c r="AI10" s="29" t="n"/>
      <c r="AJ10" s="29" t="n"/>
      <c r="AK10" s="29" t="n"/>
      <c r="AL10" s="29" t="n"/>
      <c r="AM10" s="29" t="n"/>
      <c r="AN10" s="29" t="n"/>
      <c r="AO10" s="29" t="n"/>
      <c r="AP10" s="59">
        <f>IF(COUNT(I10,T10,AE10)=0,"",AVERAGE(I10,T10,AE10))</f>
        <v/>
      </c>
      <c r="AQ10" s="59">
        <f>IF(COUNT(J10,U10,AF10)=0,"",AVERAGE(J10,U10,AF10))</f>
        <v/>
      </c>
      <c r="AR10" s="59">
        <f>IF(COUNT(K10,V10,AG10)=0,"",AVERAGE(K10,V10,AG10))</f>
        <v/>
      </c>
      <c r="AS10" s="59">
        <f>IF(COUNT(L10,W10,AH10)=0,"",AVERAGE(L10,W10,AH10))</f>
        <v/>
      </c>
      <c r="AT10" s="59">
        <f>IF(COUNT(M10,X10,AI10)=0,"",AVERAGE(M10,X10,AI10))</f>
        <v/>
      </c>
      <c r="AU10" s="59">
        <f>IF(COUNT(N10,Y10,AJ10)=0,"",AVERAGE(N10,Y10,AJ10))</f>
        <v/>
      </c>
      <c r="AV10" s="59">
        <f>IF(COUNT(O10,Z10,AK10)=0,"",AVERAGE(O10,Z10,AK10))</f>
        <v/>
      </c>
      <c r="AW10" s="59">
        <f>IF(COUNT(P10,AA10,AL10)=0,"",AVERAGE(P10,AA10,AL10))</f>
        <v/>
      </c>
      <c r="AX10" s="59">
        <f>IF(COUNT(Q10,AB10,AM10)=0,"",AVERAGE(Q10,AB10,AM10))</f>
        <v/>
      </c>
      <c r="AY10" s="60">
        <f>IF(OR($F10="",COUNT(R10,AC10,AN10)=0),"",AVERAGE(R10,AC10,AN10))</f>
        <v/>
      </c>
      <c r="AZ10" s="60">
        <f>IF(OR($G10="",$G10=$F10,COUNT(S10,AD10,AO10)=0),"",AVERAGE(S10,AD10,AO10))</f>
        <v/>
      </c>
      <c r="BA10" s="61">
        <f>IF(COUNT(AP10:AX10)=0,"",SUM(AP10:AX10))</f>
        <v/>
      </c>
      <c r="BB10" s="62">
        <f>IF(BA10="","",BA10/BA$6)</f>
        <v/>
      </c>
      <c r="BC10" s="14">
        <f>IF(BR10="","",COUNTIF($BR$7:$BR$26,"&gt;"&amp;BR10)+COUNTIF($BR$7:BR10,BR10))</f>
        <v/>
      </c>
      <c r="BD10" s="63">
        <f>IF(BC10="","",IF(BC10&lt;=Mapping!$C$11,"Shortlisted","Not shortlisted"))</f>
        <v/>
      </c>
      <c r="BE10" s="64">
        <f>IFERROR((AP10/AP$6*Mapping!$D$15+AQ10/AQ$6*Mapping!$D$16+AR10/AR$6*Mapping!$D$17+AS10/AS$6*Mapping!$D$18+AT10/AT$6*Mapping!$D$19+AU10/AU$6*Mapping!$D$20+AV10/AV$6*Mapping!$D$21+AW10/AW$6*Mapping!$D$22+AX10/AX$6*Mapping!$D$23)/SUM(Mapping!$D$15:$D$23),"")</f>
        <v/>
      </c>
      <c r="BF10" s="64">
        <f>IFERROR((AP10/AP$6*Mapping!$E$15+AQ10/AQ$6*Mapping!$E$16+AR10/AR$6*Mapping!$E$17+AS10/AS$6*Mapping!$E$18+AT10/AT$6*Mapping!$E$19+AU10/AU$6*Mapping!$E$20+AV10/AV$6*Mapping!$E$21+AW10/AW$6*Mapping!$E$22+AX10/AX$6*Mapping!$E$23)/SUM(Mapping!$E$15:$E$23),"")</f>
        <v/>
      </c>
      <c r="BG10" s="64">
        <f>IFERROR((AP10/AP$6*Mapping!$F$15+AQ10/AQ$6*Mapping!$F$16+AR10/AR$6*Mapping!$F$17+AS10/AS$6*Mapping!$F$18+AT10/AT$6*Mapping!$F$19+AU10/AU$6*Mapping!$F$20+AV10/AV$6*Mapping!$F$21+AW10/AW$6*Mapping!$F$22+AX10/AX$6*Mapping!$F$23)/SUM(Mapping!$F$15:$F$23),"")</f>
        <v/>
      </c>
      <c r="BH10" s="64">
        <f>IFERROR((AP10/AP$6*Mapping!$G$15+AQ10/AQ$6*Mapping!$G$16+AR10/AR$6*Mapping!$G$17+AS10/AS$6*Mapping!$G$18+AT10/AT$6*Mapping!$G$19+AU10/AU$6*Mapping!$G$20+AV10/AV$6*Mapping!$G$21+AW10/AW$6*Mapping!$G$22+AX10/AX$6*Mapping!$G$23)/SUM(Mapping!$G$15:$G$23),"")</f>
        <v/>
      </c>
      <c r="BI10" s="64">
        <f>IFERROR((AP10/AP$6*Mapping!$H$15+AQ10/AQ$6*Mapping!$H$16+AR10/AR$6*Mapping!$H$17+AS10/AS$6*Mapping!$H$18+AT10/AT$6*Mapping!$H$19+AU10/AU$6*Mapping!$H$20+AV10/AV$6*Mapping!$H$21+AW10/AW$6*Mapping!$H$22+AX10/AX$6*Mapping!$H$23)/SUM(Mapping!$H$15:$H$23),"")</f>
        <v/>
      </c>
      <c r="BJ10" s="64">
        <f>IFERROR((AP10/AP$6*Mapping!$I$15+AQ10/AQ$6*Mapping!$I$16+AR10/AR$6*Mapping!$I$17+AS10/AS$6*Mapping!$I$18+AT10/AT$6*Mapping!$I$19+AU10/AU$6*Mapping!$I$20+AV10/AV$6*Mapping!$I$21+AW10/AW$6*Mapping!$I$22+AX10/AX$6*Mapping!$I$23)/SUM(Mapping!$I$15:$I$23),"")</f>
        <v/>
      </c>
      <c r="BK10" s="64">
        <f>IFERROR((AP10/AP$6*Mapping!$J$15+AQ10/AQ$6*Mapping!$J$16+AR10/AR$6*Mapping!$J$17+AS10/AS$6*Mapping!$J$18+AT10/AT$6*Mapping!$J$19+AU10/AU$6*Mapping!$J$20+AV10/AV$6*Mapping!$J$21+AW10/AW$6*Mapping!$J$22+AX10/AX$6*Mapping!$J$23)/SUM(Mapping!$J$15:$J$23),"")</f>
        <v/>
      </c>
      <c r="BL10" s="64">
        <f>IFERROR((AP10/AP$6*Mapping!$K$15+AQ10/AQ$6*Mapping!$K$16+AR10/AR$6*Mapping!$K$17+AS10/AS$6*Mapping!$K$18+AT10/AT$6*Mapping!$K$19+AU10/AU$6*Mapping!$K$20+AV10/AV$6*Mapping!$K$21+AW10/AW$6*Mapping!$K$22+AX10/AX$6*Mapping!$K$23)/SUM(Mapping!$K$15:$K$23),"")</f>
        <v/>
      </c>
      <c r="BM10" s="64">
        <f>IFERROR((AP10/AP$6*Mapping!$L$15+AQ10/AQ$6*Mapping!$L$16+AR10/AR$6*Mapping!$L$17+AS10/AS$6*Mapping!$L$18+AT10/AT$6*Mapping!$L$19+AU10/AU$6*Mapping!$L$20+AV10/AV$6*Mapping!$L$21+AW10/AW$6*Mapping!$L$22+AX10/AX$6*Mapping!$L$23)/SUM(Mapping!$L$15:$L$23),"")</f>
        <v/>
      </c>
      <c r="BN10" s="64">
        <f>IFERROR((AP10/AP$6*Mapping!$M$15+AQ10/AQ$6*Mapping!$M$16+AR10/AR$6*Mapping!$M$17+AS10/AS$6*Mapping!$M$18+AT10/AT$6*Mapping!$M$19+AU10/AU$6*Mapping!$M$20+AV10/AV$6*Mapping!$M$21+AW10/AW$6*Mapping!$M$22+AX10/AX$6*Mapping!$M$23)/SUM(Mapping!$M$15:$M$23),"")</f>
        <v/>
      </c>
      <c r="BO10" s="64">
        <f>IFERROR((AP10/AP$6*Mapping!$N$15+AQ10/AQ$6*Mapping!$N$16+AR10/AR$6*Mapping!$N$17+AS10/AS$6*Mapping!$N$18+AT10/AT$6*Mapping!$N$19+AU10/AU$6*Mapping!$N$20+AV10/AV$6*Mapping!$N$21+AW10/AW$6*Mapping!$N$22+AX10/AX$6*Mapping!$N$23)/SUM(Mapping!$N$15:$N$23),"")</f>
        <v/>
      </c>
      <c r="BP10" s="64">
        <f>IFERROR((AP10/AP$6*Mapping!$O$15+AQ10/AQ$6*Mapping!$O$16+AR10/AR$6*Mapping!$O$17+AS10/AS$6*Mapping!$O$18+AT10/AT$6*Mapping!$O$19+AU10/AU$6*Mapping!$O$20+AV10/AV$6*Mapping!$O$21+AW10/AW$6*Mapping!$O$22+AX10/AX$6*Mapping!$O$23)/SUM(Mapping!$O$15:$O$23),"")</f>
        <v/>
      </c>
      <c r="BQ10" s="64">
        <f>IFERROR((AP10/AP$6*Mapping!$P$15+AQ10/AQ$6*Mapping!$P$16+AR10/AR$6*Mapping!$P$17+AS10/AS$6*Mapping!$P$18+AT10/AT$6*Mapping!$P$19+AU10/AU$6*Mapping!$P$20+AV10/AV$6*Mapping!$P$21+AW10/AW$6*Mapping!$P$22+AX10/AX$6*Mapping!$P$23)/SUM(Mapping!$P$15:$P$23),"")</f>
        <v/>
      </c>
      <c r="BR10" s="65">
        <f>IF(BA10="","",BA10+N(AS10)/10000)</f>
        <v/>
      </c>
    </row>
    <row r="11" ht="30" customHeight="1">
      <c r="A11" s="28" t="n">
        <v>5</v>
      </c>
      <c r="B11" s="29" t="inlineStr">
        <is>
          <t>3rd Sem - A</t>
        </is>
      </c>
      <c r="C11" s="29" t="n"/>
      <c r="D11" s="6" t="n"/>
      <c r="E11" s="6" t="n"/>
      <c r="F11" s="29" t="n"/>
      <c r="G11" s="29" t="n"/>
      <c r="H11" s="6"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59">
        <f>IF(COUNT(I11,T11,AE11)=0,"",AVERAGE(I11,T11,AE11))</f>
        <v/>
      </c>
      <c r="AQ11" s="59">
        <f>IF(COUNT(J11,U11,AF11)=0,"",AVERAGE(J11,U11,AF11))</f>
        <v/>
      </c>
      <c r="AR11" s="59">
        <f>IF(COUNT(K11,V11,AG11)=0,"",AVERAGE(K11,V11,AG11))</f>
        <v/>
      </c>
      <c r="AS11" s="59">
        <f>IF(COUNT(L11,W11,AH11)=0,"",AVERAGE(L11,W11,AH11))</f>
        <v/>
      </c>
      <c r="AT11" s="59">
        <f>IF(COUNT(M11,X11,AI11)=0,"",AVERAGE(M11,X11,AI11))</f>
        <v/>
      </c>
      <c r="AU11" s="59">
        <f>IF(COUNT(N11,Y11,AJ11)=0,"",AVERAGE(N11,Y11,AJ11))</f>
        <v/>
      </c>
      <c r="AV11" s="59">
        <f>IF(COUNT(O11,Z11,AK11)=0,"",AVERAGE(O11,Z11,AK11))</f>
        <v/>
      </c>
      <c r="AW11" s="59">
        <f>IF(COUNT(P11,AA11,AL11)=0,"",AVERAGE(P11,AA11,AL11))</f>
        <v/>
      </c>
      <c r="AX11" s="59">
        <f>IF(COUNT(Q11,AB11,AM11)=0,"",AVERAGE(Q11,AB11,AM11))</f>
        <v/>
      </c>
      <c r="AY11" s="60">
        <f>IF(OR($F11="",COUNT(R11,AC11,AN11)=0),"",AVERAGE(R11,AC11,AN11))</f>
        <v/>
      </c>
      <c r="AZ11" s="60">
        <f>IF(OR($G11="",$G11=$F11,COUNT(S11,AD11,AO11)=0),"",AVERAGE(S11,AD11,AO11))</f>
        <v/>
      </c>
      <c r="BA11" s="61">
        <f>IF(COUNT(AP11:AX11)=0,"",SUM(AP11:AX11))</f>
        <v/>
      </c>
      <c r="BB11" s="62">
        <f>IF(BA11="","",BA11/BA$6)</f>
        <v/>
      </c>
      <c r="BC11" s="14">
        <f>IF(BR11="","",COUNTIF($BR$7:$BR$26,"&gt;"&amp;BR11)+COUNTIF($BR$7:BR11,BR11))</f>
        <v/>
      </c>
      <c r="BD11" s="63">
        <f>IF(BC11="","",IF(BC11&lt;=Mapping!$C$11,"Shortlisted","Not shortlisted"))</f>
        <v/>
      </c>
      <c r="BE11" s="64">
        <f>IFERROR((AP11/AP$6*Mapping!$D$15+AQ11/AQ$6*Mapping!$D$16+AR11/AR$6*Mapping!$D$17+AS11/AS$6*Mapping!$D$18+AT11/AT$6*Mapping!$D$19+AU11/AU$6*Mapping!$D$20+AV11/AV$6*Mapping!$D$21+AW11/AW$6*Mapping!$D$22+AX11/AX$6*Mapping!$D$23)/SUM(Mapping!$D$15:$D$23),"")</f>
        <v/>
      </c>
      <c r="BF11" s="64">
        <f>IFERROR((AP11/AP$6*Mapping!$E$15+AQ11/AQ$6*Mapping!$E$16+AR11/AR$6*Mapping!$E$17+AS11/AS$6*Mapping!$E$18+AT11/AT$6*Mapping!$E$19+AU11/AU$6*Mapping!$E$20+AV11/AV$6*Mapping!$E$21+AW11/AW$6*Mapping!$E$22+AX11/AX$6*Mapping!$E$23)/SUM(Mapping!$E$15:$E$23),"")</f>
        <v/>
      </c>
      <c r="BG11" s="64">
        <f>IFERROR((AP11/AP$6*Mapping!$F$15+AQ11/AQ$6*Mapping!$F$16+AR11/AR$6*Mapping!$F$17+AS11/AS$6*Mapping!$F$18+AT11/AT$6*Mapping!$F$19+AU11/AU$6*Mapping!$F$20+AV11/AV$6*Mapping!$F$21+AW11/AW$6*Mapping!$F$22+AX11/AX$6*Mapping!$F$23)/SUM(Mapping!$F$15:$F$23),"")</f>
        <v/>
      </c>
      <c r="BH11" s="64">
        <f>IFERROR((AP11/AP$6*Mapping!$G$15+AQ11/AQ$6*Mapping!$G$16+AR11/AR$6*Mapping!$G$17+AS11/AS$6*Mapping!$G$18+AT11/AT$6*Mapping!$G$19+AU11/AU$6*Mapping!$G$20+AV11/AV$6*Mapping!$G$21+AW11/AW$6*Mapping!$G$22+AX11/AX$6*Mapping!$G$23)/SUM(Mapping!$G$15:$G$23),"")</f>
        <v/>
      </c>
      <c r="BI11" s="64">
        <f>IFERROR((AP11/AP$6*Mapping!$H$15+AQ11/AQ$6*Mapping!$H$16+AR11/AR$6*Mapping!$H$17+AS11/AS$6*Mapping!$H$18+AT11/AT$6*Mapping!$H$19+AU11/AU$6*Mapping!$H$20+AV11/AV$6*Mapping!$H$21+AW11/AW$6*Mapping!$H$22+AX11/AX$6*Mapping!$H$23)/SUM(Mapping!$H$15:$H$23),"")</f>
        <v/>
      </c>
      <c r="BJ11" s="64">
        <f>IFERROR((AP11/AP$6*Mapping!$I$15+AQ11/AQ$6*Mapping!$I$16+AR11/AR$6*Mapping!$I$17+AS11/AS$6*Mapping!$I$18+AT11/AT$6*Mapping!$I$19+AU11/AU$6*Mapping!$I$20+AV11/AV$6*Mapping!$I$21+AW11/AW$6*Mapping!$I$22+AX11/AX$6*Mapping!$I$23)/SUM(Mapping!$I$15:$I$23),"")</f>
        <v/>
      </c>
      <c r="BK11" s="64">
        <f>IFERROR((AP11/AP$6*Mapping!$J$15+AQ11/AQ$6*Mapping!$J$16+AR11/AR$6*Mapping!$J$17+AS11/AS$6*Mapping!$J$18+AT11/AT$6*Mapping!$J$19+AU11/AU$6*Mapping!$J$20+AV11/AV$6*Mapping!$J$21+AW11/AW$6*Mapping!$J$22+AX11/AX$6*Mapping!$J$23)/SUM(Mapping!$J$15:$J$23),"")</f>
        <v/>
      </c>
      <c r="BL11" s="64">
        <f>IFERROR((AP11/AP$6*Mapping!$K$15+AQ11/AQ$6*Mapping!$K$16+AR11/AR$6*Mapping!$K$17+AS11/AS$6*Mapping!$K$18+AT11/AT$6*Mapping!$K$19+AU11/AU$6*Mapping!$K$20+AV11/AV$6*Mapping!$K$21+AW11/AW$6*Mapping!$K$22+AX11/AX$6*Mapping!$K$23)/SUM(Mapping!$K$15:$K$23),"")</f>
        <v/>
      </c>
      <c r="BM11" s="64">
        <f>IFERROR((AP11/AP$6*Mapping!$L$15+AQ11/AQ$6*Mapping!$L$16+AR11/AR$6*Mapping!$L$17+AS11/AS$6*Mapping!$L$18+AT11/AT$6*Mapping!$L$19+AU11/AU$6*Mapping!$L$20+AV11/AV$6*Mapping!$L$21+AW11/AW$6*Mapping!$L$22+AX11/AX$6*Mapping!$L$23)/SUM(Mapping!$L$15:$L$23),"")</f>
        <v/>
      </c>
      <c r="BN11" s="64">
        <f>IFERROR((AP11/AP$6*Mapping!$M$15+AQ11/AQ$6*Mapping!$M$16+AR11/AR$6*Mapping!$M$17+AS11/AS$6*Mapping!$M$18+AT11/AT$6*Mapping!$M$19+AU11/AU$6*Mapping!$M$20+AV11/AV$6*Mapping!$M$21+AW11/AW$6*Mapping!$M$22+AX11/AX$6*Mapping!$M$23)/SUM(Mapping!$M$15:$M$23),"")</f>
        <v/>
      </c>
      <c r="BO11" s="64">
        <f>IFERROR((AP11/AP$6*Mapping!$N$15+AQ11/AQ$6*Mapping!$N$16+AR11/AR$6*Mapping!$N$17+AS11/AS$6*Mapping!$N$18+AT11/AT$6*Mapping!$N$19+AU11/AU$6*Mapping!$N$20+AV11/AV$6*Mapping!$N$21+AW11/AW$6*Mapping!$N$22+AX11/AX$6*Mapping!$N$23)/SUM(Mapping!$N$15:$N$23),"")</f>
        <v/>
      </c>
      <c r="BP11" s="64">
        <f>IFERROR((AP11/AP$6*Mapping!$O$15+AQ11/AQ$6*Mapping!$O$16+AR11/AR$6*Mapping!$O$17+AS11/AS$6*Mapping!$O$18+AT11/AT$6*Mapping!$O$19+AU11/AU$6*Mapping!$O$20+AV11/AV$6*Mapping!$O$21+AW11/AW$6*Mapping!$O$22+AX11/AX$6*Mapping!$O$23)/SUM(Mapping!$O$15:$O$23),"")</f>
        <v/>
      </c>
      <c r="BQ11" s="64">
        <f>IFERROR((AP11/AP$6*Mapping!$P$15+AQ11/AQ$6*Mapping!$P$16+AR11/AR$6*Mapping!$P$17+AS11/AS$6*Mapping!$P$18+AT11/AT$6*Mapping!$P$19+AU11/AU$6*Mapping!$P$20+AV11/AV$6*Mapping!$P$21+AW11/AW$6*Mapping!$P$22+AX11/AX$6*Mapping!$P$23)/SUM(Mapping!$P$15:$P$23),"")</f>
        <v/>
      </c>
      <c r="BR11" s="65">
        <f>IF(BA11="","",BA11+N(AS11)/10000)</f>
        <v/>
      </c>
    </row>
    <row r="12" ht="30" customHeight="1">
      <c r="A12" s="28" t="n">
        <v>6</v>
      </c>
      <c r="B12" s="29" t="inlineStr">
        <is>
          <t>3rd Sem - A</t>
        </is>
      </c>
      <c r="C12" s="29" t="n"/>
      <c r="D12" s="6" t="n"/>
      <c r="E12" s="6" t="n"/>
      <c r="F12" s="29" t="n"/>
      <c r="G12" s="29" t="n"/>
      <c r="H12" s="6" t="n"/>
      <c r="I12" s="29" t="n"/>
      <c r="J12" s="29" t="n"/>
      <c r="K12" s="29" t="n"/>
      <c r="L12" s="29" t="n"/>
      <c r="M12" s="29" t="n"/>
      <c r="N12" s="29" t="n"/>
      <c r="O12" s="29" t="n"/>
      <c r="P12" s="29" t="n"/>
      <c r="Q12" s="29" t="n"/>
      <c r="R12" s="29" t="n"/>
      <c r="S12" s="29" t="n"/>
      <c r="T12" s="29" t="n"/>
      <c r="U12" s="29" t="n"/>
      <c r="V12" s="29" t="n"/>
      <c r="W12" s="29" t="n"/>
      <c r="X12" s="29" t="n"/>
      <c r="Y12" s="29" t="n"/>
      <c r="Z12" s="29" t="n"/>
      <c r="AA12" s="29" t="n"/>
      <c r="AB12" s="29" t="n"/>
      <c r="AC12" s="29" t="n"/>
      <c r="AD12" s="29" t="n"/>
      <c r="AE12" s="29" t="n"/>
      <c r="AF12" s="29" t="n"/>
      <c r="AG12" s="29" t="n"/>
      <c r="AH12" s="29" t="n"/>
      <c r="AI12" s="29" t="n"/>
      <c r="AJ12" s="29" t="n"/>
      <c r="AK12" s="29" t="n"/>
      <c r="AL12" s="29" t="n"/>
      <c r="AM12" s="29" t="n"/>
      <c r="AN12" s="29" t="n"/>
      <c r="AO12" s="29" t="n"/>
      <c r="AP12" s="59">
        <f>IF(COUNT(I12,T12,AE12)=0,"",AVERAGE(I12,T12,AE12))</f>
        <v/>
      </c>
      <c r="AQ12" s="59">
        <f>IF(COUNT(J12,U12,AF12)=0,"",AVERAGE(J12,U12,AF12))</f>
        <v/>
      </c>
      <c r="AR12" s="59">
        <f>IF(COUNT(K12,V12,AG12)=0,"",AVERAGE(K12,V12,AG12))</f>
        <v/>
      </c>
      <c r="AS12" s="59">
        <f>IF(COUNT(L12,W12,AH12)=0,"",AVERAGE(L12,W12,AH12))</f>
        <v/>
      </c>
      <c r="AT12" s="59">
        <f>IF(COUNT(M12,X12,AI12)=0,"",AVERAGE(M12,X12,AI12))</f>
        <v/>
      </c>
      <c r="AU12" s="59">
        <f>IF(COUNT(N12,Y12,AJ12)=0,"",AVERAGE(N12,Y12,AJ12))</f>
        <v/>
      </c>
      <c r="AV12" s="59">
        <f>IF(COUNT(O12,Z12,AK12)=0,"",AVERAGE(O12,Z12,AK12))</f>
        <v/>
      </c>
      <c r="AW12" s="59">
        <f>IF(COUNT(P12,AA12,AL12)=0,"",AVERAGE(P12,AA12,AL12))</f>
        <v/>
      </c>
      <c r="AX12" s="59">
        <f>IF(COUNT(Q12,AB12,AM12)=0,"",AVERAGE(Q12,AB12,AM12))</f>
        <v/>
      </c>
      <c r="AY12" s="60">
        <f>IF(OR($F12="",COUNT(R12,AC12,AN12)=0),"",AVERAGE(R12,AC12,AN12))</f>
        <v/>
      </c>
      <c r="AZ12" s="60">
        <f>IF(OR($G12="",$G12=$F12,COUNT(S12,AD12,AO12)=0),"",AVERAGE(S12,AD12,AO12))</f>
        <v/>
      </c>
      <c r="BA12" s="61">
        <f>IF(COUNT(AP12:AX12)=0,"",SUM(AP12:AX12))</f>
        <v/>
      </c>
      <c r="BB12" s="62">
        <f>IF(BA12="","",BA12/BA$6)</f>
        <v/>
      </c>
      <c r="BC12" s="14">
        <f>IF(BR12="","",COUNTIF($BR$7:$BR$26,"&gt;"&amp;BR12)+COUNTIF($BR$7:BR12,BR12))</f>
        <v/>
      </c>
      <c r="BD12" s="63">
        <f>IF(BC12="","",IF(BC12&lt;=Mapping!$C$11,"Shortlisted","Not shortlisted"))</f>
        <v/>
      </c>
      <c r="BE12" s="64">
        <f>IFERROR((AP12/AP$6*Mapping!$D$15+AQ12/AQ$6*Mapping!$D$16+AR12/AR$6*Mapping!$D$17+AS12/AS$6*Mapping!$D$18+AT12/AT$6*Mapping!$D$19+AU12/AU$6*Mapping!$D$20+AV12/AV$6*Mapping!$D$21+AW12/AW$6*Mapping!$D$22+AX12/AX$6*Mapping!$D$23)/SUM(Mapping!$D$15:$D$23),"")</f>
        <v/>
      </c>
      <c r="BF12" s="64">
        <f>IFERROR((AP12/AP$6*Mapping!$E$15+AQ12/AQ$6*Mapping!$E$16+AR12/AR$6*Mapping!$E$17+AS12/AS$6*Mapping!$E$18+AT12/AT$6*Mapping!$E$19+AU12/AU$6*Mapping!$E$20+AV12/AV$6*Mapping!$E$21+AW12/AW$6*Mapping!$E$22+AX12/AX$6*Mapping!$E$23)/SUM(Mapping!$E$15:$E$23),"")</f>
        <v/>
      </c>
      <c r="BG12" s="64">
        <f>IFERROR((AP12/AP$6*Mapping!$F$15+AQ12/AQ$6*Mapping!$F$16+AR12/AR$6*Mapping!$F$17+AS12/AS$6*Mapping!$F$18+AT12/AT$6*Mapping!$F$19+AU12/AU$6*Mapping!$F$20+AV12/AV$6*Mapping!$F$21+AW12/AW$6*Mapping!$F$22+AX12/AX$6*Mapping!$F$23)/SUM(Mapping!$F$15:$F$23),"")</f>
        <v/>
      </c>
      <c r="BH12" s="64">
        <f>IFERROR((AP12/AP$6*Mapping!$G$15+AQ12/AQ$6*Mapping!$G$16+AR12/AR$6*Mapping!$G$17+AS12/AS$6*Mapping!$G$18+AT12/AT$6*Mapping!$G$19+AU12/AU$6*Mapping!$G$20+AV12/AV$6*Mapping!$G$21+AW12/AW$6*Mapping!$G$22+AX12/AX$6*Mapping!$G$23)/SUM(Mapping!$G$15:$G$23),"")</f>
        <v/>
      </c>
      <c r="BI12" s="64">
        <f>IFERROR((AP12/AP$6*Mapping!$H$15+AQ12/AQ$6*Mapping!$H$16+AR12/AR$6*Mapping!$H$17+AS12/AS$6*Mapping!$H$18+AT12/AT$6*Mapping!$H$19+AU12/AU$6*Mapping!$H$20+AV12/AV$6*Mapping!$H$21+AW12/AW$6*Mapping!$H$22+AX12/AX$6*Mapping!$H$23)/SUM(Mapping!$H$15:$H$23),"")</f>
        <v/>
      </c>
      <c r="BJ12" s="64">
        <f>IFERROR((AP12/AP$6*Mapping!$I$15+AQ12/AQ$6*Mapping!$I$16+AR12/AR$6*Mapping!$I$17+AS12/AS$6*Mapping!$I$18+AT12/AT$6*Mapping!$I$19+AU12/AU$6*Mapping!$I$20+AV12/AV$6*Mapping!$I$21+AW12/AW$6*Mapping!$I$22+AX12/AX$6*Mapping!$I$23)/SUM(Mapping!$I$15:$I$23),"")</f>
        <v/>
      </c>
      <c r="BK12" s="64">
        <f>IFERROR((AP12/AP$6*Mapping!$J$15+AQ12/AQ$6*Mapping!$J$16+AR12/AR$6*Mapping!$J$17+AS12/AS$6*Mapping!$J$18+AT12/AT$6*Mapping!$J$19+AU12/AU$6*Mapping!$J$20+AV12/AV$6*Mapping!$J$21+AW12/AW$6*Mapping!$J$22+AX12/AX$6*Mapping!$J$23)/SUM(Mapping!$J$15:$J$23),"")</f>
        <v/>
      </c>
      <c r="BL12" s="64">
        <f>IFERROR((AP12/AP$6*Mapping!$K$15+AQ12/AQ$6*Mapping!$K$16+AR12/AR$6*Mapping!$K$17+AS12/AS$6*Mapping!$K$18+AT12/AT$6*Mapping!$K$19+AU12/AU$6*Mapping!$K$20+AV12/AV$6*Mapping!$K$21+AW12/AW$6*Mapping!$K$22+AX12/AX$6*Mapping!$K$23)/SUM(Mapping!$K$15:$K$23),"")</f>
        <v/>
      </c>
      <c r="BM12" s="64">
        <f>IFERROR((AP12/AP$6*Mapping!$L$15+AQ12/AQ$6*Mapping!$L$16+AR12/AR$6*Mapping!$L$17+AS12/AS$6*Mapping!$L$18+AT12/AT$6*Mapping!$L$19+AU12/AU$6*Mapping!$L$20+AV12/AV$6*Mapping!$L$21+AW12/AW$6*Mapping!$L$22+AX12/AX$6*Mapping!$L$23)/SUM(Mapping!$L$15:$L$23),"")</f>
        <v/>
      </c>
      <c r="BN12" s="64">
        <f>IFERROR((AP12/AP$6*Mapping!$M$15+AQ12/AQ$6*Mapping!$M$16+AR12/AR$6*Mapping!$M$17+AS12/AS$6*Mapping!$M$18+AT12/AT$6*Mapping!$M$19+AU12/AU$6*Mapping!$M$20+AV12/AV$6*Mapping!$M$21+AW12/AW$6*Mapping!$M$22+AX12/AX$6*Mapping!$M$23)/SUM(Mapping!$M$15:$M$23),"")</f>
        <v/>
      </c>
      <c r="BO12" s="64">
        <f>IFERROR((AP12/AP$6*Mapping!$N$15+AQ12/AQ$6*Mapping!$N$16+AR12/AR$6*Mapping!$N$17+AS12/AS$6*Mapping!$N$18+AT12/AT$6*Mapping!$N$19+AU12/AU$6*Mapping!$N$20+AV12/AV$6*Mapping!$N$21+AW12/AW$6*Mapping!$N$22+AX12/AX$6*Mapping!$N$23)/SUM(Mapping!$N$15:$N$23),"")</f>
        <v/>
      </c>
      <c r="BP12" s="64">
        <f>IFERROR((AP12/AP$6*Mapping!$O$15+AQ12/AQ$6*Mapping!$O$16+AR12/AR$6*Mapping!$O$17+AS12/AS$6*Mapping!$O$18+AT12/AT$6*Mapping!$O$19+AU12/AU$6*Mapping!$O$20+AV12/AV$6*Mapping!$O$21+AW12/AW$6*Mapping!$O$22+AX12/AX$6*Mapping!$O$23)/SUM(Mapping!$O$15:$O$23),"")</f>
        <v/>
      </c>
      <c r="BQ12" s="64">
        <f>IFERROR((AP12/AP$6*Mapping!$P$15+AQ12/AQ$6*Mapping!$P$16+AR12/AR$6*Mapping!$P$17+AS12/AS$6*Mapping!$P$18+AT12/AT$6*Mapping!$P$19+AU12/AU$6*Mapping!$P$20+AV12/AV$6*Mapping!$P$21+AW12/AW$6*Mapping!$P$22+AX12/AX$6*Mapping!$P$23)/SUM(Mapping!$P$15:$P$23),"")</f>
        <v/>
      </c>
      <c r="BR12" s="65">
        <f>IF(BA12="","",BA12+N(AS12)/10000)</f>
        <v/>
      </c>
    </row>
    <row r="13" ht="30" customHeight="1">
      <c r="A13" s="28" t="n">
        <v>7</v>
      </c>
      <c r="B13" s="29" t="inlineStr">
        <is>
          <t>3rd Sem - A</t>
        </is>
      </c>
      <c r="C13" s="29" t="n"/>
      <c r="D13" s="6" t="n"/>
      <c r="E13" s="6" t="n"/>
      <c r="F13" s="29" t="n"/>
      <c r="G13" s="29" t="n"/>
      <c r="H13" s="6" t="n"/>
      <c r="I13" s="29" t="n"/>
      <c r="J13" s="29" t="n"/>
      <c r="K13" s="29" t="n"/>
      <c r="L13" s="29" t="n"/>
      <c r="M13" s="29" t="n"/>
      <c r="N13" s="29" t="n"/>
      <c r="O13" s="29" t="n"/>
      <c r="P13" s="29" t="n"/>
      <c r="Q13" s="29" t="n"/>
      <c r="R13" s="29" t="n"/>
      <c r="S13" s="29" t="n"/>
      <c r="T13" s="29" t="n"/>
      <c r="U13" s="29" t="n"/>
      <c r="V13" s="29" t="n"/>
      <c r="W13" s="29" t="n"/>
      <c r="X13" s="29" t="n"/>
      <c r="Y13" s="29" t="n"/>
      <c r="Z13" s="29" t="n"/>
      <c r="AA13" s="29" t="n"/>
      <c r="AB13" s="29" t="n"/>
      <c r="AC13" s="29" t="n"/>
      <c r="AD13" s="29" t="n"/>
      <c r="AE13" s="29" t="n"/>
      <c r="AF13" s="29" t="n"/>
      <c r="AG13" s="29" t="n"/>
      <c r="AH13" s="29" t="n"/>
      <c r="AI13" s="29" t="n"/>
      <c r="AJ13" s="29" t="n"/>
      <c r="AK13" s="29" t="n"/>
      <c r="AL13" s="29" t="n"/>
      <c r="AM13" s="29" t="n"/>
      <c r="AN13" s="29" t="n"/>
      <c r="AO13" s="29" t="n"/>
      <c r="AP13" s="59">
        <f>IF(COUNT(I13,T13,AE13)=0,"",AVERAGE(I13,T13,AE13))</f>
        <v/>
      </c>
      <c r="AQ13" s="59">
        <f>IF(COUNT(J13,U13,AF13)=0,"",AVERAGE(J13,U13,AF13))</f>
        <v/>
      </c>
      <c r="AR13" s="59">
        <f>IF(COUNT(K13,V13,AG13)=0,"",AVERAGE(K13,V13,AG13))</f>
        <v/>
      </c>
      <c r="AS13" s="59">
        <f>IF(COUNT(L13,W13,AH13)=0,"",AVERAGE(L13,W13,AH13))</f>
        <v/>
      </c>
      <c r="AT13" s="59">
        <f>IF(COUNT(M13,X13,AI13)=0,"",AVERAGE(M13,X13,AI13))</f>
        <v/>
      </c>
      <c r="AU13" s="59">
        <f>IF(COUNT(N13,Y13,AJ13)=0,"",AVERAGE(N13,Y13,AJ13))</f>
        <v/>
      </c>
      <c r="AV13" s="59">
        <f>IF(COUNT(O13,Z13,AK13)=0,"",AVERAGE(O13,Z13,AK13))</f>
        <v/>
      </c>
      <c r="AW13" s="59">
        <f>IF(COUNT(P13,AA13,AL13)=0,"",AVERAGE(P13,AA13,AL13))</f>
        <v/>
      </c>
      <c r="AX13" s="59">
        <f>IF(COUNT(Q13,AB13,AM13)=0,"",AVERAGE(Q13,AB13,AM13))</f>
        <v/>
      </c>
      <c r="AY13" s="60">
        <f>IF(OR($F13="",COUNT(R13,AC13,AN13)=0),"",AVERAGE(R13,AC13,AN13))</f>
        <v/>
      </c>
      <c r="AZ13" s="60">
        <f>IF(OR($G13="",$G13=$F13,COUNT(S13,AD13,AO13)=0),"",AVERAGE(S13,AD13,AO13))</f>
        <v/>
      </c>
      <c r="BA13" s="61">
        <f>IF(COUNT(AP13:AX13)=0,"",SUM(AP13:AX13))</f>
        <v/>
      </c>
      <c r="BB13" s="62">
        <f>IF(BA13="","",BA13/BA$6)</f>
        <v/>
      </c>
      <c r="BC13" s="14">
        <f>IF(BR13="","",COUNTIF($BR$7:$BR$26,"&gt;"&amp;BR13)+COUNTIF($BR$7:BR13,BR13))</f>
        <v/>
      </c>
      <c r="BD13" s="63">
        <f>IF(BC13="","",IF(BC13&lt;=Mapping!$C$11,"Shortlisted","Not shortlisted"))</f>
        <v/>
      </c>
      <c r="BE13" s="64">
        <f>IFERROR((AP13/AP$6*Mapping!$D$15+AQ13/AQ$6*Mapping!$D$16+AR13/AR$6*Mapping!$D$17+AS13/AS$6*Mapping!$D$18+AT13/AT$6*Mapping!$D$19+AU13/AU$6*Mapping!$D$20+AV13/AV$6*Mapping!$D$21+AW13/AW$6*Mapping!$D$22+AX13/AX$6*Mapping!$D$23)/SUM(Mapping!$D$15:$D$23),"")</f>
        <v/>
      </c>
      <c r="BF13" s="64">
        <f>IFERROR((AP13/AP$6*Mapping!$E$15+AQ13/AQ$6*Mapping!$E$16+AR13/AR$6*Mapping!$E$17+AS13/AS$6*Mapping!$E$18+AT13/AT$6*Mapping!$E$19+AU13/AU$6*Mapping!$E$20+AV13/AV$6*Mapping!$E$21+AW13/AW$6*Mapping!$E$22+AX13/AX$6*Mapping!$E$23)/SUM(Mapping!$E$15:$E$23),"")</f>
        <v/>
      </c>
      <c r="BG13" s="64">
        <f>IFERROR((AP13/AP$6*Mapping!$F$15+AQ13/AQ$6*Mapping!$F$16+AR13/AR$6*Mapping!$F$17+AS13/AS$6*Mapping!$F$18+AT13/AT$6*Mapping!$F$19+AU13/AU$6*Mapping!$F$20+AV13/AV$6*Mapping!$F$21+AW13/AW$6*Mapping!$F$22+AX13/AX$6*Mapping!$F$23)/SUM(Mapping!$F$15:$F$23),"")</f>
        <v/>
      </c>
      <c r="BH13" s="64">
        <f>IFERROR((AP13/AP$6*Mapping!$G$15+AQ13/AQ$6*Mapping!$G$16+AR13/AR$6*Mapping!$G$17+AS13/AS$6*Mapping!$G$18+AT13/AT$6*Mapping!$G$19+AU13/AU$6*Mapping!$G$20+AV13/AV$6*Mapping!$G$21+AW13/AW$6*Mapping!$G$22+AX13/AX$6*Mapping!$G$23)/SUM(Mapping!$G$15:$G$23),"")</f>
        <v/>
      </c>
      <c r="BI13" s="64">
        <f>IFERROR((AP13/AP$6*Mapping!$H$15+AQ13/AQ$6*Mapping!$H$16+AR13/AR$6*Mapping!$H$17+AS13/AS$6*Mapping!$H$18+AT13/AT$6*Mapping!$H$19+AU13/AU$6*Mapping!$H$20+AV13/AV$6*Mapping!$H$21+AW13/AW$6*Mapping!$H$22+AX13/AX$6*Mapping!$H$23)/SUM(Mapping!$H$15:$H$23),"")</f>
        <v/>
      </c>
      <c r="BJ13" s="64">
        <f>IFERROR((AP13/AP$6*Mapping!$I$15+AQ13/AQ$6*Mapping!$I$16+AR13/AR$6*Mapping!$I$17+AS13/AS$6*Mapping!$I$18+AT13/AT$6*Mapping!$I$19+AU13/AU$6*Mapping!$I$20+AV13/AV$6*Mapping!$I$21+AW13/AW$6*Mapping!$I$22+AX13/AX$6*Mapping!$I$23)/SUM(Mapping!$I$15:$I$23),"")</f>
        <v/>
      </c>
      <c r="BK13" s="64">
        <f>IFERROR((AP13/AP$6*Mapping!$J$15+AQ13/AQ$6*Mapping!$J$16+AR13/AR$6*Mapping!$J$17+AS13/AS$6*Mapping!$J$18+AT13/AT$6*Mapping!$J$19+AU13/AU$6*Mapping!$J$20+AV13/AV$6*Mapping!$J$21+AW13/AW$6*Mapping!$J$22+AX13/AX$6*Mapping!$J$23)/SUM(Mapping!$J$15:$J$23),"")</f>
        <v/>
      </c>
      <c r="BL13" s="64">
        <f>IFERROR((AP13/AP$6*Mapping!$K$15+AQ13/AQ$6*Mapping!$K$16+AR13/AR$6*Mapping!$K$17+AS13/AS$6*Mapping!$K$18+AT13/AT$6*Mapping!$K$19+AU13/AU$6*Mapping!$K$20+AV13/AV$6*Mapping!$K$21+AW13/AW$6*Mapping!$K$22+AX13/AX$6*Mapping!$K$23)/SUM(Mapping!$K$15:$K$23),"")</f>
        <v/>
      </c>
      <c r="BM13" s="64">
        <f>IFERROR((AP13/AP$6*Mapping!$L$15+AQ13/AQ$6*Mapping!$L$16+AR13/AR$6*Mapping!$L$17+AS13/AS$6*Mapping!$L$18+AT13/AT$6*Mapping!$L$19+AU13/AU$6*Mapping!$L$20+AV13/AV$6*Mapping!$L$21+AW13/AW$6*Mapping!$L$22+AX13/AX$6*Mapping!$L$23)/SUM(Mapping!$L$15:$L$23),"")</f>
        <v/>
      </c>
      <c r="BN13" s="64">
        <f>IFERROR((AP13/AP$6*Mapping!$M$15+AQ13/AQ$6*Mapping!$M$16+AR13/AR$6*Mapping!$M$17+AS13/AS$6*Mapping!$M$18+AT13/AT$6*Mapping!$M$19+AU13/AU$6*Mapping!$M$20+AV13/AV$6*Mapping!$M$21+AW13/AW$6*Mapping!$M$22+AX13/AX$6*Mapping!$M$23)/SUM(Mapping!$M$15:$M$23),"")</f>
        <v/>
      </c>
      <c r="BO13" s="64">
        <f>IFERROR((AP13/AP$6*Mapping!$N$15+AQ13/AQ$6*Mapping!$N$16+AR13/AR$6*Mapping!$N$17+AS13/AS$6*Mapping!$N$18+AT13/AT$6*Mapping!$N$19+AU13/AU$6*Mapping!$N$20+AV13/AV$6*Mapping!$N$21+AW13/AW$6*Mapping!$N$22+AX13/AX$6*Mapping!$N$23)/SUM(Mapping!$N$15:$N$23),"")</f>
        <v/>
      </c>
      <c r="BP13" s="64">
        <f>IFERROR((AP13/AP$6*Mapping!$O$15+AQ13/AQ$6*Mapping!$O$16+AR13/AR$6*Mapping!$O$17+AS13/AS$6*Mapping!$O$18+AT13/AT$6*Mapping!$O$19+AU13/AU$6*Mapping!$O$20+AV13/AV$6*Mapping!$O$21+AW13/AW$6*Mapping!$O$22+AX13/AX$6*Mapping!$O$23)/SUM(Mapping!$O$15:$O$23),"")</f>
        <v/>
      </c>
      <c r="BQ13" s="64">
        <f>IFERROR((AP13/AP$6*Mapping!$P$15+AQ13/AQ$6*Mapping!$P$16+AR13/AR$6*Mapping!$P$17+AS13/AS$6*Mapping!$P$18+AT13/AT$6*Mapping!$P$19+AU13/AU$6*Mapping!$P$20+AV13/AV$6*Mapping!$P$21+AW13/AW$6*Mapping!$P$22+AX13/AX$6*Mapping!$P$23)/SUM(Mapping!$P$15:$P$23),"")</f>
        <v/>
      </c>
      <c r="BR13" s="65">
        <f>IF(BA13="","",BA13+N(AS13)/10000)</f>
        <v/>
      </c>
    </row>
    <row r="14" ht="30" customHeight="1">
      <c r="A14" s="28" t="n">
        <v>8</v>
      </c>
      <c r="B14" s="29" t="inlineStr">
        <is>
          <t>3rd Sem - A</t>
        </is>
      </c>
      <c r="C14" s="29" t="n"/>
      <c r="D14" s="6" t="n"/>
      <c r="E14" s="6" t="n"/>
      <c r="F14" s="29" t="n"/>
      <c r="G14" s="29" t="n"/>
      <c r="H14" s="6" t="n"/>
      <c r="I14" s="29" t="n"/>
      <c r="J14" s="29" t="n"/>
      <c r="K14" s="29" t="n"/>
      <c r="L14" s="29" t="n"/>
      <c r="M14" s="29" t="n"/>
      <c r="N14" s="29" t="n"/>
      <c r="O14" s="29" t="n"/>
      <c r="P14" s="29" t="n"/>
      <c r="Q14" s="29" t="n"/>
      <c r="R14" s="29" t="n"/>
      <c r="S14" s="29" t="n"/>
      <c r="T14" s="29" t="n"/>
      <c r="U14" s="29" t="n"/>
      <c r="V14" s="29" t="n"/>
      <c r="W14" s="29" t="n"/>
      <c r="X14" s="29" t="n"/>
      <c r="Y14" s="29" t="n"/>
      <c r="Z14" s="29" t="n"/>
      <c r="AA14" s="29" t="n"/>
      <c r="AB14" s="29" t="n"/>
      <c r="AC14" s="29" t="n"/>
      <c r="AD14" s="29" t="n"/>
      <c r="AE14" s="29" t="n"/>
      <c r="AF14" s="29" t="n"/>
      <c r="AG14" s="29" t="n"/>
      <c r="AH14" s="29" t="n"/>
      <c r="AI14" s="29" t="n"/>
      <c r="AJ14" s="29" t="n"/>
      <c r="AK14" s="29" t="n"/>
      <c r="AL14" s="29" t="n"/>
      <c r="AM14" s="29" t="n"/>
      <c r="AN14" s="29" t="n"/>
      <c r="AO14" s="29" t="n"/>
      <c r="AP14" s="59">
        <f>IF(COUNT(I14,T14,AE14)=0,"",AVERAGE(I14,T14,AE14))</f>
        <v/>
      </c>
      <c r="AQ14" s="59">
        <f>IF(COUNT(J14,U14,AF14)=0,"",AVERAGE(J14,U14,AF14))</f>
        <v/>
      </c>
      <c r="AR14" s="59">
        <f>IF(COUNT(K14,V14,AG14)=0,"",AVERAGE(K14,V14,AG14))</f>
        <v/>
      </c>
      <c r="AS14" s="59">
        <f>IF(COUNT(L14,W14,AH14)=0,"",AVERAGE(L14,W14,AH14))</f>
        <v/>
      </c>
      <c r="AT14" s="59">
        <f>IF(COUNT(M14,X14,AI14)=0,"",AVERAGE(M14,X14,AI14))</f>
        <v/>
      </c>
      <c r="AU14" s="59">
        <f>IF(COUNT(N14,Y14,AJ14)=0,"",AVERAGE(N14,Y14,AJ14))</f>
        <v/>
      </c>
      <c r="AV14" s="59">
        <f>IF(COUNT(O14,Z14,AK14)=0,"",AVERAGE(O14,Z14,AK14))</f>
        <v/>
      </c>
      <c r="AW14" s="59">
        <f>IF(COUNT(P14,AA14,AL14)=0,"",AVERAGE(P14,AA14,AL14))</f>
        <v/>
      </c>
      <c r="AX14" s="59">
        <f>IF(COUNT(Q14,AB14,AM14)=0,"",AVERAGE(Q14,AB14,AM14))</f>
        <v/>
      </c>
      <c r="AY14" s="60">
        <f>IF(OR($F14="",COUNT(R14,AC14,AN14)=0),"",AVERAGE(R14,AC14,AN14))</f>
        <v/>
      </c>
      <c r="AZ14" s="60">
        <f>IF(OR($G14="",$G14=$F14,COUNT(S14,AD14,AO14)=0),"",AVERAGE(S14,AD14,AO14))</f>
        <v/>
      </c>
      <c r="BA14" s="61">
        <f>IF(COUNT(AP14:AX14)=0,"",SUM(AP14:AX14))</f>
        <v/>
      </c>
      <c r="BB14" s="62">
        <f>IF(BA14="","",BA14/BA$6)</f>
        <v/>
      </c>
      <c r="BC14" s="14">
        <f>IF(BR14="","",COUNTIF($BR$7:$BR$26,"&gt;"&amp;BR14)+COUNTIF($BR$7:BR14,BR14))</f>
        <v/>
      </c>
      <c r="BD14" s="63">
        <f>IF(BC14="","",IF(BC14&lt;=Mapping!$C$11,"Shortlisted","Not shortlisted"))</f>
        <v/>
      </c>
      <c r="BE14" s="64">
        <f>IFERROR((AP14/AP$6*Mapping!$D$15+AQ14/AQ$6*Mapping!$D$16+AR14/AR$6*Mapping!$D$17+AS14/AS$6*Mapping!$D$18+AT14/AT$6*Mapping!$D$19+AU14/AU$6*Mapping!$D$20+AV14/AV$6*Mapping!$D$21+AW14/AW$6*Mapping!$D$22+AX14/AX$6*Mapping!$D$23)/SUM(Mapping!$D$15:$D$23),"")</f>
        <v/>
      </c>
      <c r="BF14" s="64">
        <f>IFERROR((AP14/AP$6*Mapping!$E$15+AQ14/AQ$6*Mapping!$E$16+AR14/AR$6*Mapping!$E$17+AS14/AS$6*Mapping!$E$18+AT14/AT$6*Mapping!$E$19+AU14/AU$6*Mapping!$E$20+AV14/AV$6*Mapping!$E$21+AW14/AW$6*Mapping!$E$22+AX14/AX$6*Mapping!$E$23)/SUM(Mapping!$E$15:$E$23),"")</f>
        <v/>
      </c>
      <c r="BG14" s="64">
        <f>IFERROR((AP14/AP$6*Mapping!$F$15+AQ14/AQ$6*Mapping!$F$16+AR14/AR$6*Mapping!$F$17+AS14/AS$6*Mapping!$F$18+AT14/AT$6*Mapping!$F$19+AU14/AU$6*Mapping!$F$20+AV14/AV$6*Mapping!$F$21+AW14/AW$6*Mapping!$F$22+AX14/AX$6*Mapping!$F$23)/SUM(Mapping!$F$15:$F$23),"")</f>
        <v/>
      </c>
      <c r="BH14" s="64">
        <f>IFERROR((AP14/AP$6*Mapping!$G$15+AQ14/AQ$6*Mapping!$G$16+AR14/AR$6*Mapping!$G$17+AS14/AS$6*Mapping!$G$18+AT14/AT$6*Mapping!$G$19+AU14/AU$6*Mapping!$G$20+AV14/AV$6*Mapping!$G$21+AW14/AW$6*Mapping!$G$22+AX14/AX$6*Mapping!$G$23)/SUM(Mapping!$G$15:$G$23),"")</f>
        <v/>
      </c>
      <c r="BI14" s="64">
        <f>IFERROR((AP14/AP$6*Mapping!$H$15+AQ14/AQ$6*Mapping!$H$16+AR14/AR$6*Mapping!$H$17+AS14/AS$6*Mapping!$H$18+AT14/AT$6*Mapping!$H$19+AU14/AU$6*Mapping!$H$20+AV14/AV$6*Mapping!$H$21+AW14/AW$6*Mapping!$H$22+AX14/AX$6*Mapping!$H$23)/SUM(Mapping!$H$15:$H$23),"")</f>
        <v/>
      </c>
      <c r="BJ14" s="64">
        <f>IFERROR((AP14/AP$6*Mapping!$I$15+AQ14/AQ$6*Mapping!$I$16+AR14/AR$6*Mapping!$I$17+AS14/AS$6*Mapping!$I$18+AT14/AT$6*Mapping!$I$19+AU14/AU$6*Mapping!$I$20+AV14/AV$6*Mapping!$I$21+AW14/AW$6*Mapping!$I$22+AX14/AX$6*Mapping!$I$23)/SUM(Mapping!$I$15:$I$23),"")</f>
        <v/>
      </c>
      <c r="BK14" s="64">
        <f>IFERROR((AP14/AP$6*Mapping!$J$15+AQ14/AQ$6*Mapping!$J$16+AR14/AR$6*Mapping!$J$17+AS14/AS$6*Mapping!$J$18+AT14/AT$6*Mapping!$J$19+AU14/AU$6*Mapping!$J$20+AV14/AV$6*Mapping!$J$21+AW14/AW$6*Mapping!$J$22+AX14/AX$6*Mapping!$J$23)/SUM(Mapping!$J$15:$J$23),"")</f>
        <v/>
      </c>
      <c r="BL14" s="64">
        <f>IFERROR((AP14/AP$6*Mapping!$K$15+AQ14/AQ$6*Mapping!$K$16+AR14/AR$6*Mapping!$K$17+AS14/AS$6*Mapping!$K$18+AT14/AT$6*Mapping!$K$19+AU14/AU$6*Mapping!$K$20+AV14/AV$6*Mapping!$K$21+AW14/AW$6*Mapping!$K$22+AX14/AX$6*Mapping!$K$23)/SUM(Mapping!$K$15:$K$23),"")</f>
        <v/>
      </c>
      <c r="BM14" s="64">
        <f>IFERROR((AP14/AP$6*Mapping!$L$15+AQ14/AQ$6*Mapping!$L$16+AR14/AR$6*Mapping!$L$17+AS14/AS$6*Mapping!$L$18+AT14/AT$6*Mapping!$L$19+AU14/AU$6*Mapping!$L$20+AV14/AV$6*Mapping!$L$21+AW14/AW$6*Mapping!$L$22+AX14/AX$6*Mapping!$L$23)/SUM(Mapping!$L$15:$L$23),"")</f>
        <v/>
      </c>
      <c r="BN14" s="64">
        <f>IFERROR((AP14/AP$6*Mapping!$M$15+AQ14/AQ$6*Mapping!$M$16+AR14/AR$6*Mapping!$M$17+AS14/AS$6*Mapping!$M$18+AT14/AT$6*Mapping!$M$19+AU14/AU$6*Mapping!$M$20+AV14/AV$6*Mapping!$M$21+AW14/AW$6*Mapping!$M$22+AX14/AX$6*Mapping!$M$23)/SUM(Mapping!$M$15:$M$23),"")</f>
        <v/>
      </c>
      <c r="BO14" s="64">
        <f>IFERROR((AP14/AP$6*Mapping!$N$15+AQ14/AQ$6*Mapping!$N$16+AR14/AR$6*Mapping!$N$17+AS14/AS$6*Mapping!$N$18+AT14/AT$6*Mapping!$N$19+AU14/AU$6*Mapping!$N$20+AV14/AV$6*Mapping!$N$21+AW14/AW$6*Mapping!$N$22+AX14/AX$6*Mapping!$N$23)/SUM(Mapping!$N$15:$N$23),"")</f>
        <v/>
      </c>
      <c r="BP14" s="64">
        <f>IFERROR((AP14/AP$6*Mapping!$O$15+AQ14/AQ$6*Mapping!$O$16+AR14/AR$6*Mapping!$O$17+AS14/AS$6*Mapping!$O$18+AT14/AT$6*Mapping!$O$19+AU14/AU$6*Mapping!$O$20+AV14/AV$6*Mapping!$O$21+AW14/AW$6*Mapping!$O$22+AX14/AX$6*Mapping!$O$23)/SUM(Mapping!$O$15:$O$23),"")</f>
        <v/>
      </c>
      <c r="BQ14" s="64">
        <f>IFERROR((AP14/AP$6*Mapping!$P$15+AQ14/AQ$6*Mapping!$P$16+AR14/AR$6*Mapping!$P$17+AS14/AS$6*Mapping!$P$18+AT14/AT$6*Mapping!$P$19+AU14/AU$6*Mapping!$P$20+AV14/AV$6*Mapping!$P$21+AW14/AW$6*Mapping!$P$22+AX14/AX$6*Mapping!$P$23)/SUM(Mapping!$P$15:$P$23),"")</f>
        <v/>
      </c>
      <c r="BR14" s="65">
        <f>IF(BA14="","",BA14+N(AS14)/10000)</f>
        <v/>
      </c>
    </row>
    <row r="15" ht="30" customHeight="1">
      <c r="A15" s="28" t="n">
        <v>9</v>
      </c>
      <c r="B15" s="29" t="inlineStr">
        <is>
          <t>3rd Sem - A</t>
        </is>
      </c>
      <c r="C15" s="29" t="n"/>
      <c r="D15" s="6" t="n"/>
      <c r="E15" s="6" t="n"/>
      <c r="F15" s="29" t="n"/>
      <c r="G15" s="29" t="n"/>
      <c r="H15" s="6" t="n"/>
      <c r="I15" s="29" t="n"/>
      <c r="J15" s="29" t="n"/>
      <c r="K15" s="29" t="n"/>
      <c r="L15" s="29" t="n"/>
      <c r="M15" s="29" t="n"/>
      <c r="N15" s="29" t="n"/>
      <c r="O15" s="29" t="n"/>
      <c r="P15" s="29" t="n"/>
      <c r="Q15" s="29" t="n"/>
      <c r="R15" s="29" t="n"/>
      <c r="S15" s="29" t="n"/>
      <c r="T15" s="29" t="n"/>
      <c r="U15" s="29" t="n"/>
      <c r="V15" s="29" t="n"/>
      <c r="W15" s="29" t="n"/>
      <c r="X15" s="29" t="n"/>
      <c r="Y15" s="29" t="n"/>
      <c r="Z15" s="29" t="n"/>
      <c r="AA15" s="29" t="n"/>
      <c r="AB15" s="29" t="n"/>
      <c r="AC15" s="29" t="n"/>
      <c r="AD15" s="29" t="n"/>
      <c r="AE15" s="29" t="n"/>
      <c r="AF15" s="29" t="n"/>
      <c r="AG15" s="29" t="n"/>
      <c r="AH15" s="29" t="n"/>
      <c r="AI15" s="29" t="n"/>
      <c r="AJ15" s="29" t="n"/>
      <c r="AK15" s="29" t="n"/>
      <c r="AL15" s="29" t="n"/>
      <c r="AM15" s="29" t="n"/>
      <c r="AN15" s="29" t="n"/>
      <c r="AO15" s="29" t="n"/>
      <c r="AP15" s="59">
        <f>IF(COUNT(I15,T15,AE15)=0,"",AVERAGE(I15,T15,AE15))</f>
        <v/>
      </c>
      <c r="AQ15" s="59">
        <f>IF(COUNT(J15,U15,AF15)=0,"",AVERAGE(J15,U15,AF15))</f>
        <v/>
      </c>
      <c r="AR15" s="59">
        <f>IF(COUNT(K15,V15,AG15)=0,"",AVERAGE(K15,V15,AG15))</f>
        <v/>
      </c>
      <c r="AS15" s="59">
        <f>IF(COUNT(L15,W15,AH15)=0,"",AVERAGE(L15,W15,AH15))</f>
        <v/>
      </c>
      <c r="AT15" s="59">
        <f>IF(COUNT(M15,X15,AI15)=0,"",AVERAGE(M15,X15,AI15))</f>
        <v/>
      </c>
      <c r="AU15" s="59">
        <f>IF(COUNT(N15,Y15,AJ15)=0,"",AVERAGE(N15,Y15,AJ15))</f>
        <v/>
      </c>
      <c r="AV15" s="59">
        <f>IF(COUNT(O15,Z15,AK15)=0,"",AVERAGE(O15,Z15,AK15))</f>
        <v/>
      </c>
      <c r="AW15" s="59">
        <f>IF(COUNT(P15,AA15,AL15)=0,"",AVERAGE(P15,AA15,AL15))</f>
        <v/>
      </c>
      <c r="AX15" s="59">
        <f>IF(COUNT(Q15,AB15,AM15)=0,"",AVERAGE(Q15,AB15,AM15))</f>
        <v/>
      </c>
      <c r="AY15" s="60">
        <f>IF(OR($F15="",COUNT(R15,AC15,AN15)=0),"",AVERAGE(R15,AC15,AN15))</f>
        <v/>
      </c>
      <c r="AZ15" s="60">
        <f>IF(OR($G15="",$G15=$F15,COUNT(S15,AD15,AO15)=0),"",AVERAGE(S15,AD15,AO15))</f>
        <v/>
      </c>
      <c r="BA15" s="61">
        <f>IF(COUNT(AP15:AX15)=0,"",SUM(AP15:AX15))</f>
        <v/>
      </c>
      <c r="BB15" s="62">
        <f>IF(BA15="","",BA15/BA$6)</f>
        <v/>
      </c>
      <c r="BC15" s="14">
        <f>IF(BR15="","",COUNTIF($BR$7:$BR$26,"&gt;"&amp;BR15)+COUNTIF($BR$7:BR15,BR15))</f>
        <v/>
      </c>
      <c r="BD15" s="63">
        <f>IF(BC15="","",IF(BC15&lt;=Mapping!$C$11,"Shortlisted","Not shortlisted"))</f>
        <v/>
      </c>
      <c r="BE15" s="64">
        <f>IFERROR((AP15/AP$6*Mapping!$D$15+AQ15/AQ$6*Mapping!$D$16+AR15/AR$6*Mapping!$D$17+AS15/AS$6*Mapping!$D$18+AT15/AT$6*Mapping!$D$19+AU15/AU$6*Mapping!$D$20+AV15/AV$6*Mapping!$D$21+AW15/AW$6*Mapping!$D$22+AX15/AX$6*Mapping!$D$23)/SUM(Mapping!$D$15:$D$23),"")</f>
        <v/>
      </c>
      <c r="BF15" s="64">
        <f>IFERROR((AP15/AP$6*Mapping!$E$15+AQ15/AQ$6*Mapping!$E$16+AR15/AR$6*Mapping!$E$17+AS15/AS$6*Mapping!$E$18+AT15/AT$6*Mapping!$E$19+AU15/AU$6*Mapping!$E$20+AV15/AV$6*Mapping!$E$21+AW15/AW$6*Mapping!$E$22+AX15/AX$6*Mapping!$E$23)/SUM(Mapping!$E$15:$E$23),"")</f>
        <v/>
      </c>
      <c r="BG15" s="64">
        <f>IFERROR((AP15/AP$6*Mapping!$F$15+AQ15/AQ$6*Mapping!$F$16+AR15/AR$6*Mapping!$F$17+AS15/AS$6*Mapping!$F$18+AT15/AT$6*Mapping!$F$19+AU15/AU$6*Mapping!$F$20+AV15/AV$6*Mapping!$F$21+AW15/AW$6*Mapping!$F$22+AX15/AX$6*Mapping!$F$23)/SUM(Mapping!$F$15:$F$23),"")</f>
        <v/>
      </c>
      <c r="BH15" s="64">
        <f>IFERROR((AP15/AP$6*Mapping!$G$15+AQ15/AQ$6*Mapping!$G$16+AR15/AR$6*Mapping!$G$17+AS15/AS$6*Mapping!$G$18+AT15/AT$6*Mapping!$G$19+AU15/AU$6*Mapping!$G$20+AV15/AV$6*Mapping!$G$21+AW15/AW$6*Mapping!$G$22+AX15/AX$6*Mapping!$G$23)/SUM(Mapping!$G$15:$G$23),"")</f>
        <v/>
      </c>
      <c r="BI15" s="64">
        <f>IFERROR((AP15/AP$6*Mapping!$H$15+AQ15/AQ$6*Mapping!$H$16+AR15/AR$6*Mapping!$H$17+AS15/AS$6*Mapping!$H$18+AT15/AT$6*Mapping!$H$19+AU15/AU$6*Mapping!$H$20+AV15/AV$6*Mapping!$H$21+AW15/AW$6*Mapping!$H$22+AX15/AX$6*Mapping!$H$23)/SUM(Mapping!$H$15:$H$23),"")</f>
        <v/>
      </c>
      <c r="BJ15" s="64">
        <f>IFERROR((AP15/AP$6*Mapping!$I$15+AQ15/AQ$6*Mapping!$I$16+AR15/AR$6*Mapping!$I$17+AS15/AS$6*Mapping!$I$18+AT15/AT$6*Mapping!$I$19+AU15/AU$6*Mapping!$I$20+AV15/AV$6*Mapping!$I$21+AW15/AW$6*Mapping!$I$22+AX15/AX$6*Mapping!$I$23)/SUM(Mapping!$I$15:$I$23),"")</f>
        <v/>
      </c>
      <c r="BK15" s="64">
        <f>IFERROR((AP15/AP$6*Mapping!$J$15+AQ15/AQ$6*Mapping!$J$16+AR15/AR$6*Mapping!$J$17+AS15/AS$6*Mapping!$J$18+AT15/AT$6*Mapping!$J$19+AU15/AU$6*Mapping!$J$20+AV15/AV$6*Mapping!$J$21+AW15/AW$6*Mapping!$J$22+AX15/AX$6*Mapping!$J$23)/SUM(Mapping!$J$15:$J$23),"")</f>
        <v/>
      </c>
      <c r="BL15" s="64">
        <f>IFERROR((AP15/AP$6*Mapping!$K$15+AQ15/AQ$6*Mapping!$K$16+AR15/AR$6*Mapping!$K$17+AS15/AS$6*Mapping!$K$18+AT15/AT$6*Mapping!$K$19+AU15/AU$6*Mapping!$K$20+AV15/AV$6*Mapping!$K$21+AW15/AW$6*Mapping!$K$22+AX15/AX$6*Mapping!$K$23)/SUM(Mapping!$K$15:$K$23),"")</f>
        <v/>
      </c>
      <c r="BM15" s="64">
        <f>IFERROR((AP15/AP$6*Mapping!$L$15+AQ15/AQ$6*Mapping!$L$16+AR15/AR$6*Mapping!$L$17+AS15/AS$6*Mapping!$L$18+AT15/AT$6*Mapping!$L$19+AU15/AU$6*Mapping!$L$20+AV15/AV$6*Mapping!$L$21+AW15/AW$6*Mapping!$L$22+AX15/AX$6*Mapping!$L$23)/SUM(Mapping!$L$15:$L$23),"")</f>
        <v/>
      </c>
      <c r="BN15" s="64">
        <f>IFERROR((AP15/AP$6*Mapping!$M$15+AQ15/AQ$6*Mapping!$M$16+AR15/AR$6*Mapping!$M$17+AS15/AS$6*Mapping!$M$18+AT15/AT$6*Mapping!$M$19+AU15/AU$6*Mapping!$M$20+AV15/AV$6*Mapping!$M$21+AW15/AW$6*Mapping!$M$22+AX15/AX$6*Mapping!$M$23)/SUM(Mapping!$M$15:$M$23),"")</f>
        <v/>
      </c>
      <c r="BO15" s="64">
        <f>IFERROR((AP15/AP$6*Mapping!$N$15+AQ15/AQ$6*Mapping!$N$16+AR15/AR$6*Mapping!$N$17+AS15/AS$6*Mapping!$N$18+AT15/AT$6*Mapping!$N$19+AU15/AU$6*Mapping!$N$20+AV15/AV$6*Mapping!$N$21+AW15/AW$6*Mapping!$N$22+AX15/AX$6*Mapping!$N$23)/SUM(Mapping!$N$15:$N$23),"")</f>
        <v/>
      </c>
      <c r="BP15" s="64">
        <f>IFERROR((AP15/AP$6*Mapping!$O$15+AQ15/AQ$6*Mapping!$O$16+AR15/AR$6*Mapping!$O$17+AS15/AS$6*Mapping!$O$18+AT15/AT$6*Mapping!$O$19+AU15/AU$6*Mapping!$O$20+AV15/AV$6*Mapping!$O$21+AW15/AW$6*Mapping!$O$22+AX15/AX$6*Mapping!$O$23)/SUM(Mapping!$O$15:$O$23),"")</f>
        <v/>
      </c>
      <c r="BQ15" s="64">
        <f>IFERROR((AP15/AP$6*Mapping!$P$15+AQ15/AQ$6*Mapping!$P$16+AR15/AR$6*Mapping!$P$17+AS15/AS$6*Mapping!$P$18+AT15/AT$6*Mapping!$P$19+AU15/AU$6*Mapping!$P$20+AV15/AV$6*Mapping!$P$21+AW15/AW$6*Mapping!$P$22+AX15/AX$6*Mapping!$P$23)/SUM(Mapping!$P$15:$P$23),"")</f>
        <v/>
      </c>
      <c r="BR15" s="65">
        <f>IF(BA15="","",BA15+N(AS15)/10000)</f>
        <v/>
      </c>
    </row>
    <row r="16" ht="30" customHeight="1">
      <c r="A16" s="28" t="n">
        <v>10</v>
      </c>
      <c r="B16" s="29" t="inlineStr">
        <is>
          <t>3rd Sem - A</t>
        </is>
      </c>
      <c r="C16" s="29" t="n"/>
      <c r="D16" s="6" t="n"/>
      <c r="E16" s="6" t="n"/>
      <c r="F16" s="29" t="n"/>
      <c r="G16" s="29" t="n"/>
      <c r="H16" s="6" t="n"/>
      <c r="I16" s="29" t="n"/>
      <c r="J16" s="29" t="n"/>
      <c r="K16" s="29" t="n"/>
      <c r="L16" s="29" t="n"/>
      <c r="M16" s="29" t="n"/>
      <c r="N16" s="29" t="n"/>
      <c r="O16" s="29" t="n"/>
      <c r="P16" s="29" t="n"/>
      <c r="Q16" s="29" t="n"/>
      <c r="R16" s="29" t="n"/>
      <c r="S16" s="29" t="n"/>
      <c r="T16" s="29" t="n"/>
      <c r="U16" s="29" t="n"/>
      <c r="V16" s="29" t="n"/>
      <c r="W16" s="29" t="n"/>
      <c r="X16" s="29" t="n"/>
      <c r="Y16" s="29" t="n"/>
      <c r="Z16" s="29" t="n"/>
      <c r="AA16" s="29" t="n"/>
      <c r="AB16" s="29" t="n"/>
      <c r="AC16" s="29" t="n"/>
      <c r="AD16" s="29" t="n"/>
      <c r="AE16" s="29" t="n"/>
      <c r="AF16" s="29" t="n"/>
      <c r="AG16" s="29" t="n"/>
      <c r="AH16" s="29" t="n"/>
      <c r="AI16" s="29" t="n"/>
      <c r="AJ16" s="29" t="n"/>
      <c r="AK16" s="29" t="n"/>
      <c r="AL16" s="29" t="n"/>
      <c r="AM16" s="29" t="n"/>
      <c r="AN16" s="29" t="n"/>
      <c r="AO16" s="29" t="n"/>
      <c r="AP16" s="59">
        <f>IF(COUNT(I16,T16,AE16)=0,"",AVERAGE(I16,T16,AE16))</f>
        <v/>
      </c>
      <c r="AQ16" s="59">
        <f>IF(COUNT(J16,U16,AF16)=0,"",AVERAGE(J16,U16,AF16))</f>
        <v/>
      </c>
      <c r="AR16" s="59">
        <f>IF(COUNT(K16,V16,AG16)=0,"",AVERAGE(K16,V16,AG16))</f>
        <v/>
      </c>
      <c r="AS16" s="59">
        <f>IF(COUNT(L16,W16,AH16)=0,"",AVERAGE(L16,W16,AH16))</f>
        <v/>
      </c>
      <c r="AT16" s="59">
        <f>IF(COUNT(M16,X16,AI16)=0,"",AVERAGE(M16,X16,AI16))</f>
        <v/>
      </c>
      <c r="AU16" s="59">
        <f>IF(COUNT(N16,Y16,AJ16)=0,"",AVERAGE(N16,Y16,AJ16))</f>
        <v/>
      </c>
      <c r="AV16" s="59">
        <f>IF(COUNT(O16,Z16,AK16)=0,"",AVERAGE(O16,Z16,AK16))</f>
        <v/>
      </c>
      <c r="AW16" s="59">
        <f>IF(COUNT(P16,AA16,AL16)=0,"",AVERAGE(P16,AA16,AL16))</f>
        <v/>
      </c>
      <c r="AX16" s="59">
        <f>IF(COUNT(Q16,AB16,AM16)=0,"",AVERAGE(Q16,AB16,AM16))</f>
        <v/>
      </c>
      <c r="AY16" s="60">
        <f>IF(OR($F16="",COUNT(R16,AC16,AN16)=0),"",AVERAGE(R16,AC16,AN16))</f>
        <v/>
      </c>
      <c r="AZ16" s="60">
        <f>IF(OR($G16="",$G16=$F16,COUNT(S16,AD16,AO16)=0),"",AVERAGE(S16,AD16,AO16))</f>
        <v/>
      </c>
      <c r="BA16" s="61">
        <f>IF(COUNT(AP16:AX16)=0,"",SUM(AP16:AX16))</f>
        <v/>
      </c>
      <c r="BB16" s="62">
        <f>IF(BA16="","",BA16/BA$6)</f>
        <v/>
      </c>
      <c r="BC16" s="14">
        <f>IF(BR16="","",COUNTIF($BR$7:$BR$26,"&gt;"&amp;BR16)+COUNTIF($BR$7:BR16,BR16))</f>
        <v/>
      </c>
      <c r="BD16" s="63">
        <f>IF(BC16="","",IF(BC16&lt;=Mapping!$C$11,"Shortlisted","Not shortlisted"))</f>
        <v/>
      </c>
      <c r="BE16" s="64">
        <f>IFERROR((AP16/AP$6*Mapping!$D$15+AQ16/AQ$6*Mapping!$D$16+AR16/AR$6*Mapping!$D$17+AS16/AS$6*Mapping!$D$18+AT16/AT$6*Mapping!$D$19+AU16/AU$6*Mapping!$D$20+AV16/AV$6*Mapping!$D$21+AW16/AW$6*Mapping!$D$22+AX16/AX$6*Mapping!$D$23)/SUM(Mapping!$D$15:$D$23),"")</f>
        <v/>
      </c>
      <c r="BF16" s="64">
        <f>IFERROR((AP16/AP$6*Mapping!$E$15+AQ16/AQ$6*Mapping!$E$16+AR16/AR$6*Mapping!$E$17+AS16/AS$6*Mapping!$E$18+AT16/AT$6*Mapping!$E$19+AU16/AU$6*Mapping!$E$20+AV16/AV$6*Mapping!$E$21+AW16/AW$6*Mapping!$E$22+AX16/AX$6*Mapping!$E$23)/SUM(Mapping!$E$15:$E$23),"")</f>
        <v/>
      </c>
      <c r="BG16" s="64">
        <f>IFERROR((AP16/AP$6*Mapping!$F$15+AQ16/AQ$6*Mapping!$F$16+AR16/AR$6*Mapping!$F$17+AS16/AS$6*Mapping!$F$18+AT16/AT$6*Mapping!$F$19+AU16/AU$6*Mapping!$F$20+AV16/AV$6*Mapping!$F$21+AW16/AW$6*Mapping!$F$22+AX16/AX$6*Mapping!$F$23)/SUM(Mapping!$F$15:$F$23),"")</f>
        <v/>
      </c>
      <c r="BH16" s="64">
        <f>IFERROR((AP16/AP$6*Mapping!$G$15+AQ16/AQ$6*Mapping!$G$16+AR16/AR$6*Mapping!$G$17+AS16/AS$6*Mapping!$G$18+AT16/AT$6*Mapping!$G$19+AU16/AU$6*Mapping!$G$20+AV16/AV$6*Mapping!$G$21+AW16/AW$6*Mapping!$G$22+AX16/AX$6*Mapping!$G$23)/SUM(Mapping!$G$15:$G$23),"")</f>
        <v/>
      </c>
      <c r="BI16" s="64">
        <f>IFERROR((AP16/AP$6*Mapping!$H$15+AQ16/AQ$6*Mapping!$H$16+AR16/AR$6*Mapping!$H$17+AS16/AS$6*Mapping!$H$18+AT16/AT$6*Mapping!$H$19+AU16/AU$6*Mapping!$H$20+AV16/AV$6*Mapping!$H$21+AW16/AW$6*Mapping!$H$22+AX16/AX$6*Mapping!$H$23)/SUM(Mapping!$H$15:$H$23),"")</f>
        <v/>
      </c>
      <c r="BJ16" s="64">
        <f>IFERROR((AP16/AP$6*Mapping!$I$15+AQ16/AQ$6*Mapping!$I$16+AR16/AR$6*Mapping!$I$17+AS16/AS$6*Mapping!$I$18+AT16/AT$6*Mapping!$I$19+AU16/AU$6*Mapping!$I$20+AV16/AV$6*Mapping!$I$21+AW16/AW$6*Mapping!$I$22+AX16/AX$6*Mapping!$I$23)/SUM(Mapping!$I$15:$I$23),"")</f>
        <v/>
      </c>
      <c r="BK16" s="64">
        <f>IFERROR((AP16/AP$6*Mapping!$J$15+AQ16/AQ$6*Mapping!$J$16+AR16/AR$6*Mapping!$J$17+AS16/AS$6*Mapping!$J$18+AT16/AT$6*Mapping!$J$19+AU16/AU$6*Mapping!$J$20+AV16/AV$6*Mapping!$J$21+AW16/AW$6*Mapping!$J$22+AX16/AX$6*Mapping!$J$23)/SUM(Mapping!$J$15:$J$23),"")</f>
        <v/>
      </c>
      <c r="BL16" s="64">
        <f>IFERROR((AP16/AP$6*Mapping!$K$15+AQ16/AQ$6*Mapping!$K$16+AR16/AR$6*Mapping!$K$17+AS16/AS$6*Mapping!$K$18+AT16/AT$6*Mapping!$K$19+AU16/AU$6*Mapping!$K$20+AV16/AV$6*Mapping!$K$21+AW16/AW$6*Mapping!$K$22+AX16/AX$6*Mapping!$K$23)/SUM(Mapping!$K$15:$K$23),"")</f>
        <v/>
      </c>
      <c r="BM16" s="64">
        <f>IFERROR((AP16/AP$6*Mapping!$L$15+AQ16/AQ$6*Mapping!$L$16+AR16/AR$6*Mapping!$L$17+AS16/AS$6*Mapping!$L$18+AT16/AT$6*Mapping!$L$19+AU16/AU$6*Mapping!$L$20+AV16/AV$6*Mapping!$L$21+AW16/AW$6*Mapping!$L$22+AX16/AX$6*Mapping!$L$23)/SUM(Mapping!$L$15:$L$23),"")</f>
        <v/>
      </c>
      <c r="BN16" s="64">
        <f>IFERROR((AP16/AP$6*Mapping!$M$15+AQ16/AQ$6*Mapping!$M$16+AR16/AR$6*Mapping!$M$17+AS16/AS$6*Mapping!$M$18+AT16/AT$6*Mapping!$M$19+AU16/AU$6*Mapping!$M$20+AV16/AV$6*Mapping!$M$21+AW16/AW$6*Mapping!$M$22+AX16/AX$6*Mapping!$M$23)/SUM(Mapping!$M$15:$M$23),"")</f>
        <v/>
      </c>
      <c r="BO16" s="64">
        <f>IFERROR((AP16/AP$6*Mapping!$N$15+AQ16/AQ$6*Mapping!$N$16+AR16/AR$6*Mapping!$N$17+AS16/AS$6*Mapping!$N$18+AT16/AT$6*Mapping!$N$19+AU16/AU$6*Mapping!$N$20+AV16/AV$6*Mapping!$N$21+AW16/AW$6*Mapping!$N$22+AX16/AX$6*Mapping!$N$23)/SUM(Mapping!$N$15:$N$23),"")</f>
        <v/>
      </c>
      <c r="BP16" s="64">
        <f>IFERROR((AP16/AP$6*Mapping!$O$15+AQ16/AQ$6*Mapping!$O$16+AR16/AR$6*Mapping!$O$17+AS16/AS$6*Mapping!$O$18+AT16/AT$6*Mapping!$O$19+AU16/AU$6*Mapping!$O$20+AV16/AV$6*Mapping!$O$21+AW16/AW$6*Mapping!$O$22+AX16/AX$6*Mapping!$O$23)/SUM(Mapping!$O$15:$O$23),"")</f>
        <v/>
      </c>
      <c r="BQ16" s="64">
        <f>IFERROR((AP16/AP$6*Mapping!$P$15+AQ16/AQ$6*Mapping!$P$16+AR16/AR$6*Mapping!$P$17+AS16/AS$6*Mapping!$P$18+AT16/AT$6*Mapping!$P$19+AU16/AU$6*Mapping!$P$20+AV16/AV$6*Mapping!$P$21+AW16/AW$6*Mapping!$P$22+AX16/AX$6*Mapping!$P$23)/SUM(Mapping!$P$15:$P$23),"")</f>
        <v/>
      </c>
      <c r="BR16" s="65">
        <f>IF(BA16="","",BA16+N(AS16)/10000)</f>
        <v/>
      </c>
    </row>
    <row r="17" ht="30" customHeight="1">
      <c r="A17" s="28" t="n">
        <v>11</v>
      </c>
      <c r="B17" s="29" t="inlineStr">
        <is>
          <t>3rd Sem - A</t>
        </is>
      </c>
      <c r="C17" s="29" t="n"/>
      <c r="D17" s="6" t="n"/>
      <c r="E17" s="6" t="n"/>
      <c r="F17" s="29" t="n"/>
      <c r="G17" s="29" t="n"/>
      <c r="H17" s="6" t="n"/>
      <c r="I17" s="29" t="n"/>
      <c r="J17" s="29" t="n"/>
      <c r="K17" s="29" t="n"/>
      <c r="L17" s="29" t="n"/>
      <c r="M17" s="29" t="n"/>
      <c r="N17" s="29" t="n"/>
      <c r="O17" s="29" t="n"/>
      <c r="P17" s="29" t="n"/>
      <c r="Q17" s="29" t="n"/>
      <c r="R17" s="29" t="n"/>
      <c r="S17" s="29" t="n"/>
      <c r="T17" s="29" t="n"/>
      <c r="U17" s="29" t="n"/>
      <c r="V17" s="29" t="n"/>
      <c r="W17" s="29" t="n"/>
      <c r="X17" s="29" t="n"/>
      <c r="Y17" s="29" t="n"/>
      <c r="Z17" s="29" t="n"/>
      <c r="AA17" s="29" t="n"/>
      <c r="AB17" s="29" t="n"/>
      <c r="AC17" s="29" t="n"/>
      <c r="AD17" s="29" t="n"/>
      <c r="AE17" s="29" t="n"/>
      <c r="AF17" s="29" t="n"/>
      <c r="AG17" s="29" t="n"/>
      <c r="AH17" s="29" t="n"/>
      <c r="AI17" s="29" t="n"/>
      <c r="AJ17" s="29" t="n"/>
      <c r="AK17" s="29" t="n"/>
      <c r="AL17" s="29" t="n"/>
      <c r="AM17" s="29" t="n"/>
      <c r="AN17" s="29" t="n"/>
      <c r="AO17" s="29" t="n"/>
      <c r="AP17" s="59">
        <f>IF(COUNT(I17,T17,AE17)=0,"",AVERAGE(I17,T17,AE17))</f>
        <v/>
      </c>
      <c r="AQ17" s="59">
        <f>IF(COUNT(J17,U17,AF17)=0,"",AVERAGE(J17,U17,AF17))</f>
        <v/>
      </c>
      <c r="AR17" s="59">
        <f>IF(COUNT(K17,V17,AG17)=0,"",AVERAGE(K17,V17,AG17))</f>
        <v/>
      </c>
      <c r="AS17" s="59">
        <f>IF(COUNT(L17,W17,AH17)=0,"",AVERAGE(L17,W17,AH17))</f>
        <v/>
      </c>
      <c r="AT17" s="59">
        <f>IF(COUNT(M17,X17,AI17)=0,"",AVERAGE(M17,X17,AI17))</f>
        <v/>
      </c>
      <c r="AU17" s="59">
        <f>IF(COUNT(N17,Y17,AJ17)=0,"",AVERAGE(N17,Y17,AJ17))</f>
        <v/>
      </c>
      <c r="AV17" s="59">
        <f>IF(COUNT(O17,Z17,AK17)=0,"",AVERAGE(O17,Z17,AK17))</f>
        <v/>
      </c>
      <c r="AW17" s="59">
        <f>IF(COUNT(P17,AA17,AL17)=0,"",AVERAGE(P17,AA17,AL17))</f>
        <v/>
      </c>
      <c r="AX17" s="59">
        <f>IF(COUNT(Q17,AB17,AM17)=0,"",AVERAGE(Q17,AB17,AM17))</f>
        <v/>
      </c>
      <c r="AY17" s="60">
        <f>IF(OR($F17="",COUNT(R17,AC17,AN17)=0),"",AVERAGE(R17,AC17,AN17))</f>
        <v/>
      </c>
      <c r="AZ17" s="60">
        <f>IF(OR($G17="",$G17=$F17,COUNT(S17,AD17,AO17)=0),"",AVERAGE(S17,AD17,AO17))</f>
        <v/>
      </c>
      <c r="BA17" s="61">
        <f>IF(COUNT(AP17:AX17)=0,"",SUM(AP17:AX17))</f>
        <v/>
      </c>
      <c r="BB17" s="62">
        <f>IF(BA17="","",BA17/BA$6)</f>
        <v/>
      </c>
      <c r="BC17" s="14">
        <f>IF(BR17="","",COUNTIF($BR$7:$BR$26,"&gt;"&amp;BR17)+COUNTIF($BR$7:BR17,BR17))</f>
        <v/>
      </c>
      <c r="BD17" s="63">
        <f>IF(BC17="","",IF(BC17&lt;=Mapping!$C$11,"Shortlisted","Not shortlisted"))</f>
        <v/>
      </c>
      <c r="BE17" s="64">
        <f>IFERROR((AP17/AP$6*Mapping!$D$15+AQ17/AQ$6*Mapping!$D$16+AR17/AR$6*Mapping!$D$17+AS17/AS$6*Mapping!$D$18+AT17/AT$6*Mapping!$D$19+AU17/AU$6*Mapping!$D$20+AV17/AV$6*Mapping!$D$21+AW17/AW$6*Mapping!$D$22+AX17/AX$6*Mapping!$D$23)/SUM(Mapping!$D$15:$D$23),"")</f>
        <v/>
      </c>
      <c r="BF17" s="64">
        <f>IFERROR((AP17/AP$6*Mapping!$E$15+AQ17/AQ$6*Mapping!$E$16+AR17/AR$6*Mapping!$E$17+AS17/AS$6*Mapping!$E$18+AT17/AT$6*Mapping!$E$19+AU17/AU$6*Mapping!$E$20+AV17/AV$6*Mapping!$E$21+AW17/AW$6*Mapping!$E$22+AX17/AX$6*Mapping!$E$23)/SUM(Mapping!$E$15:$E$23),"")</f>
        <v/>
      </c>
      <c r="BG17" s="64">
        <f>IFERROR((AP17/AP$6*Mapping!$F$15+AQ17/AQ$6*Mapping!$F$16+AR17/AR$6*Mapping!$F$17+AS17/AS$6*Mapping!$F$18+AT17/AT$6*Mapping!$F$19+AU17/AU$6*Mapping!$F$20+AV17/AV$6*Mapping!$F$21+AW17/AW$6*Mapping!$F$22+AX17/AX$6*Mapping!$F$23)/SUM(Mapping!$F$15:$F$23),"")</f>
        <v/>
      </c>
      <c r="BH17" s="64">
        <f>IFERROR((AP17/AP$6*Mapping!$G$15+AQ17/AQ$6*Mapping!$G$16+AR17/AR$6*Mapping!$G$17+AS17/AS$6*Mapping!$G$18+AT17/AT$6*Mapping!$G$19+AU17/AU$6*Mapping!$G$20+AV17/AV$6*Mapping!$G$21+AW17/AW$6*Mapping!$G$22+AX17/AX$6*Mapping!$G$23)/SUM(Mapping!$G$15:$G$23),"")</f>
        <v/>
      </c>
      <c r="BI17" s="64">
        <f>IFERROR((AP17/AP$6*Mapping!$H$15+AQ17/AQ$6*Mapping!$H$16+AR17/AR$6*Mapping!$H$17+AS17/AS$6*Mapping!$H$18+AT17/AT$6*Mapping!$H$19+AU17/AU$6*Mapping!$H$20+AV17/AV$6*Mapping!$H$21+AW17/AW$6*Mapping!$H$22+AX17/AX$6*Mapping!$H$23)/SUM(Mapping!$H$15:$H$23),"")</f>
        <v/>
      </c>
      <c r="BJ17" s="64">
        <f>IFERROR((AP17/AP$6*Mapping!$I$15+AQ17/AQ$6*Mapping!$I$16+AR17/AR$6*Mapping!$I$17+AS17/AS$6*Mapping!$I$18+AT17/AT$6*Mapping!$I$19+AU17/AU$6*Mapping!$I$20+AV17/AV$6*Mapping!$I$21+AW17/AW$6*Mapping!$I$22+AX17/AX$6*Mapping!$I$23)/SUM(Mapping!$I$15:$I$23),"")</f>
        <v/>
      </c>
      <c r="BK17" s="64">
        <f>IFERROR((AP17/AP$6*Mapping!$J$15+AQ17/AQ$6*Mapping!$J$16+AR17/AR$6*Mapping!$J$17+AS17/AS$6*Mapping!$J$18+AT17/AT$6*Mapping!$J$19+AU17/AU$6*Mapping!$J$20+AV17/AV$6*Mapping!$J$21+AW17/AW$6*Mapping!$J$22+AX17/AX$6*Mapping!$J$23)/SUM(Mapping!$J$15:$J$23),"")</f>
        <v/>
      </c>
      <c r="BL17" s="64">
        <f>IFERROR((AP17/AP$6*Mapping!$K$15+AQ17/AQ$6*Mapping!$K$16+AR17/AR$6*Mapping!$K$17+AS17/AS$6*Mapping!$K$18+AT17/AT$6*Mapping!$K$19+AU17/AU$6*Mapping!$K$20+AV17/AV$6*Mapping!$K$21+AW17/AW$6*Mapping!$K$22+AX17/AX$6*Mapping!$K$23)/SUM(Mapping!$K$15:$K$23),"")</f>
        <v/>
      </c>
      <c r="BM17" s="64">
        <f>IFERROR((AP17/AP$6*Mapping!$L$15+AQ17/AQ$6*Mapping!$L$16+AR17/AR$6*Mapping!$L$17+AS17/AS$6*Mapping!$L$18+AT17/AT$6*Mapping!$L$19+AU17/AU$6*Mapping!$L$20+AV17/AV$6*Mapping!$L$21+AW17/AW$6*Mapping!$L$22+AX17/AX$6*Mapping!$L$23)/SUM(Mapping!$L$15:$L$23),"")</f>
        <v/>
      </c>
      <c r="BN17" s="64">
        <f>IFERROR((AP17/AP$6*Mapping!$M$15+AQ17/AQ$6*Mapping!$M$16+AR17/AR$6*Mapping!$M$17+AS17/AS$6*Mapping!$M$18+AT17/AT$6*Mapping!$M$19+AU17/AU$6*Mapping!$M$20+AV17/AV$6*Mapping!$M$21+AW17/AW$6*Mapping!$M$22+AX17/AX$6*Mapping!$M$23)/SUM(Mapping!$M$15:$M$23),"")</f>
        <v/>
      </c>
      <c r="BO17" s="64">
        <f>IFERROR((AP17/AP$6*Mapping!$N$15+AQ17/AQ$6*Mapping!$N$16+AR17/AR$6*Mapping!$N$17+AS17/AS$6*Mapping!$N$18+AT17/AT$6*Mapping!$N$19+AU17/AU$6*Mapping!$N$20+AV17/AV$6*Mapping!$N$21+AW17/AW$6*Mapping!$N$22+AX17/AX$6*Mapping!$N$23)/SUM(Mapping!$N$15:$N$23),"")</f>
        <v/>
      </c>
      <c r="BP17" s="64">
        <f>IFERROR((AP17/AP$6*Mapping!$O$15+AQ17/AQ$6*Mapping!$O$16+AR17/AR$6*Mapping!$O$17+AS17/AS$6*Mapping!$O$18+AT17/AT$6*Mapping!$O$19+AU17/AU$6*Mapping!$O$20+AV17/AV$6*Mapping!$O$21+AW17/AW$6*Mapping!$O$22+AX17/AX$6*Mapping!$O$23)/SUM(Mapping!$O$15:$O$23),"")</f>
        <v/>
      </c>
      <c r="BQ17" s="64">
        <f>IFERROR((AP17/AP$6*Mapping!$P$15+AQ17/AQ$6*Mapping!$P$16+AR17/AR$6*Mapping!$P$17+AS17/AS$6*Mapping!$P$18+AT17/AT$6*Mapping!$P$19+AU17/AU$6*Mapping!$P$20+AV17/AV$6*Mapping!$P$21+AW17/AW$6*Mapping!$P$22+AX17/AX$6*Mapping!$P$23)/SUM(Mapping!$P$15:$P$23),"")</f>
        <v/>
      </c>
      <c r="BR17" s="65">
        <f>IF(BA17="","",BA17+N(AS17)/10000)</f>
        <v/>
      </c>
    </row>
    <row r="18" ht="30" customHeight="1">
      <c r="A18" s="28" t="n">
        <v>12</v>
      </c>
      <c r="B18" s="29" t="inlineStr">
        <is>
          <t>3rd Sem - A</t>
        </is>
      </c>
      <c r="C18" s="29" t="n"/>
      <c r="D18" s="6" t="n"/>
      <c r="E18" s="6" t="n"/>
      <c r="F18" s="29" t="n"/>
      <c r="G18" s="29" t="n"/>
      <c r="H18" s="6" t="n"/>
      <c r="I18" s="29" t="n"/>
      <c r="J18" s="29" t="n"/>
      <c r="K18" s="29" t="n"/>
      <c r="L18" s="29" t="n"/>
      <c r="M18" s="29" t="n"/>
      <c r="N18" s="29" t="n"/>
      <c r="O18" s="29" t="n"/>
      <c r="P18" s="29" t="n"/>
      <c r="Q18" s="29" t="n"/>
      <c r="R18" s="29" t="n"/>
      <c r="S18" s="29" t="n"/>
      <c r="T18" s="29" t="n"/>
      <c r="U18" s="29" t="n"/>
      <c r="V18" s="29" t="n"/>
      <c r="W18" s="29" t="n"/>
      <c r="X18" s="29" t="n"/>
      <c r="Y18" s="29" t="n"/>
      <c r="Z18" s="29" t="n"/>
      <c r="AA18" s="29" t="n"/>
      <c r="AB18" s="29" t="n"/>
      <c r="AC18" s="29" t="n"/>
      <c r="AD18" s="29" t="n"/>
      <c r="AE18" s="29" t="n"/>
      <c r="AF18" s="29" t="n"/>
      <c r="AG18" s="29" t="n"/>
      <c r="AH18" s="29" t="n"/>
      <c r="AI18" s="29" t="n"/>
      <c r="AJ18" s="29" t="n"/>
      <c r="AK18" s="29" t="n"/>
      <c r="AL18" s="29" t="n"/>
      <c r="AM18" s="29" t="n"/>
      <c r="AN18" s="29" t="n"/>
      <c r="AO18" s="29" t="n"/>
      <c r="AP18" s="59">
        <f>IF(COUNT(I18,T18,AE18)=0,"",AVERAGE(I18,T18,AE18))</f>
        <v/>
      </c>
      <c r="AQ18" s="59">
        <f>IF(COUNT(J18,U18,AF18)=0,"",AVERAGE(J18,U18,AF18))</f>
        <v/>
      </c>
      <c r="AR18" s="59">
        <f>IF(COUNT(K18,V18,AG18)=0,"",AVERAGE(K18,V18,AG18))</f>
        <v/>
      </c>
      <c r="AS18" s="59">
        <f>IF(COUNT(L18,W18,AH18)=0,"",AVERAGE(L18,W18,AH18))</f>
        <v/>
      </c>
      <c r="AT18" s="59">
        <f>IF(COUNT(M18,X18,AI18)=0,"",AVERAGE(M18,X18,AI18))</f>
        <v/>
      </c>
      <c r="AU18" s="59">
        <f>IF(COUNT(N18,Y18,AJ18)=0,"",AVERAGE(N18,Y18,AJ18))</f>
        <v/>
      </c>
      <c r="AV18" s="59">
        <f>IF(COUNT(O18,Z18,AK18)=0,"",AVERAGE(O18,Z18,AK18))</f>
        <v/>
      </c>
      <c r="AW18" s="59">
        <f>IF(COUNT(P18,AA18,AL18)=0,"",AVERAGE(P18,AA18,AL18))</f>
        <v/>
      </c>
      <c r="AX18" s="59">
        <f>IF(COUNT(Q18,AB18,AM18)=0,"",AVERAGE(Q18,AB18,AM18))</f>
        <v/>
      </c>
      <c r="AY18" s="60">
        <f>IF(OR($F18="",COUNT(R18,AC18,AN18)=0),"",AVERAGE(R18,AC18,AN18))</f>
        <v/>
      </c>
      <c r="AZ18" s="60">
        <f>IF(OR($G18="",$G18=$F18,COUNT(S18,AD18,AO18)=0),"",AVERAGE(S18,AD18,AO18))</f>
        <v/>
      </c>
      <c r="BA18" s="61">
        <f>IF(COUNT(AP18:AX18)=0,"",SUM(AP18:AX18))</f>
        <v/>
      </c>
      <c r="BB18" s="62">
        <f>IF(BA18="","",BA18/BA$6)</f>
        <v/>
      </c>
      <c r="BC18" s="14">
        <f>IF(BR18="","",COUNTIF($BR$7:$BR$26,"&gt;"&amp;BR18)+COUNTIF($BR$7:BR18,BR18))</f>
        <v/>
      </c>
      <c r="BD18" s="63">
        <f>IF(BC18="","",IF(BC18&lt;=Mapping!$C$11,"Shortlisted","Not shortlisted"))</f>
        <v/>
      </c>
      <c r="BE18" s="64">
        <f>IFERROR((AP18/AP$6*Mapping!$D$15+AQ18/AQ$6*Mapping!$D$16+AR18/AR$6*Mapping!$D$17+AS18/AS$6*Mapping!$D$18+AT18/AT$6*Mapping!$D$19+AU18/AU$6*Mapping!$D$20+AV18/AV$6*Mapping!$D$21+AW18/AW$6*Mapping!$D$22+AX18/AX$6*Mapping!$D$23)/SUM(Mapping!$D$15:$D$23),"")</f>
        <v/>
      </c>
      <c r="BF18" s="64">
        <f>IFERROR((AP18/AP$6*Mapping!$E$15+AQ18/AQ$6*Mapping!$E$16+AR18/AR$6*Mapping!$E$17+AS18/AS$6*Mapping!$E$18+AT18/AT$6*Mapping!$E$19+AU18/AU$6*Mapping!$E$20+AV18/AV$6*Mapping!$E$21+AW18/AW$6*Mapping!$E$22+AX18/AX$6*Mapping!$E$23)/SUM(Mapping!$E$15:$E$23),"")</f>
        <v/>
      </c>
      <c r="BG18" s="64">
        <f>IFERROR((AP18/AP$6*Mapping!$F$15+AQ18/AQ$6*Mapping!$F$16+AR18/AR$6*Mapping!$F$17+AS18/AS$6*Mapping!$F$18+AT18/AT$6*Mapping!$F$19+AU18/AU$6*Mapping!$F$20+AV18/AV$6*Mapping!$F$21+AW18/AW$6*Mapping!$F$22+AX18/AX$6*Mapping!$F$23)/SUM(Mapping!$F$15:$F$23),"")</f>
        <v/>
      </c>
      <c r="BH18" s="64">
        <f>IFERROR((AP18/AP$6*Mapping!$G$15+AQ18/AQ$6*Mapping!$G$16+AR18/AR$6*Mapping!$G$17+AS18/AS$6*Mapping!$G$18+AT18/AT$6*Mapping!$G$19+AU18/AU$6*Mapping!$G$20+AV18/AV$6*Mapping!$G$21+AW18/AW$6*Mapping!$G$22+AX18/AX$6*Mapping!$G$23)/SUM(Mapping!$G$15:$G$23),"")</f>
        <v/>
      </c>
      <c r="BI18" s="64">
        <f>IFERROR((AP18/AP$6*Mapping!$H$15+AQ18/AQ$6*Mapping!$H$16+AR18/AR$6*Mapping!$H$17+AS18/AS$6*Mapping!$H$18+AT18/AT$6*Mapping!$H$19+AU18/AU$6*Mapping!$H$20+AV18/AV$6*Mapping!$H$21+AW18/AW$6*Mapping!$H$22+AX18/AX$6*Mapping!$H$23)/SUM(Mapping!$H$15:$H$23),"")</f>
        <v/>
      </c>
      <c r="BJ18" s="64">
        <f>IFERROR((AP18/AP$6*Mapping!$I$15+AQ18/AQ$6*Mapping!$I$16+AR18/AR$6*Mapping!$I$17+AS18/AS$6*Mapping!$I$18+AT18/AT$6*Mapping!$I$19+AU18/AU$6*Mapping!$I$20+AV18/AV$6*Mapping!$I$21+AW18/AW$6*Mapping!$I$22+AX18/AX$6*Mapping!$I$23)/SUM(Mapping!$I$15:$I$23),"")</f>
        <v/>
      </c>
      <c r="BK18" s="64">
        <f>IFERROR((AP18/AP$6*Mapping!$J$15+AQ18/AQ$6*Mapping!$J$16+AR18/AR$6*Mapping!$J$17+AS18/AS$6*Mapping!$J$18+AT18/AT$6*Mapping!$J$19+AU18/AU$6*Mapping!$J$20+AV18/AV$6*Mapping!$J$21+AW18/AW$6*Mapping!$J$22+AX18/AX$6*Mapping!$J$23)/SUM(Mapping!$J$15:$J$23),"")</f>
        <v/>
      </c>
      <c r="BL18" s="64">
        <f>IFERROR((AP18/AP$6*Mapping!$K$15+AQ18/AQ$6*Mapping!$K$16+AR18/AR$6*Mapping!$K$17+AS18/AS$6*Mapping!$K$18+AT18/AT$6*Mapping!$K$19+AU18/AU$6*Mapping!$K$20+AV18/AV$6*Mapping!$K$21+AW18/AW$6*Mapping!$K$22+AX18/AX$6*Mapping!$K$23)/SUM(Mapping!$K$15:$K$23),"")</f>
        <v/>
      </c>
      <c r="BM18" s="64">
        <f>IFERROR((AP18/AP$6*Mapping!$L$15+AQ18/AQ$6*Mapping!$L$16+AR18/AR$6*Mapping!$L$17+AS18/AS$6*Mapping!$L$18+AT18/AT$6*Mapping!$L$19+AU18/AU$6*Mapping!$L$20+AV18/AV$6*Mapping!$L$21+AW18/AW$6*Mapping!$L$22+AX18/AX$6*Mapping!$L$23)/SUM(Mapping!$L$15:$L$23),"")</f>
        <v/>
      </c>
      <c r="BN18" s="64">
        <f>IFERROR((AP18/AP$6*Mapping!$M$15+AQ18/AQ$6*Mapping!$M$16+AR18/AR$6*Mapping!$M$17+AS18/AS$6*Mapping!$M$18+AT18/AT$6*Mapping!$M$19+AU18/AU$6*Mapping!$M$20+AV18/AV$6*Mapping!$M$21+AW18/AW$6*Mapping!$M$22+AX18/AX$6*Mapping!$M$23)/SUM(Mapping!$M$15:$M$23),"")</f>
        <v/>
      </c>
      <c r="BO18" s="64">
        <f>IFERROR((AP18/AP$6*Mapping!$N$15+AQ18/AQ$6*Mapping!$N$16+AR18/AR$6*Mapping!$N$17+AS18/AS$6*Mapping!$N$18+AT18/AT$6*Mapping!$N$19+AU18/AU$6*Mapping!$N$20+AV18/AV$6*Mapping!$N$21+AW18/AW$6*Mapping!$N$22+AX18/AX$6*Mapping!$N$23)/SUM(Mapping!$N$15:$N$23),"")</f>
        <v/>
      </c>
      <c r="BP18" s="64">
        <f>IFERROR((AP18/AP$6*Mapping!$O$15+AQ18/AQ$6*Mapping!$O$16+AR18/AR$6*Mapping!$O$17+AS18/AS$6*Mapping!$O$18+AT18/AT$6*Mapping!$O$19+AU18/AU$6*Mapping!$O$20+AV18/AV$6*Mapping!$O$21+AW18/AW$6*Mapping!$O$22+AX18/AX$6*Mapping!$O$23)/SUM(Mapping!$O$15:$O$23),"")</f>
        <v/>
      </c>
      <c r="BQ18" s="64">
        <f>IFERROR((AP18/AP$6*Mapping!$P$15+AQ18/AQ$6*Mapping!$P$16+AR18/AR$6*Mapping!$P$17+AS18/AS$6*Mapping!$P$18+AT18/AT$6*Mapping!$P$19+AU18/AU$6*Mapping!$P$20+AV18/AV$6*Mapping!$P$21+AW18/AW$6*Mapping!$P$22+AX18/AX$6*Mapping!$P$23)/SUM(Mapping!$P$15:$P$23),"")</f>
        <v/>
      </c>
      <c r="BR18" s="65">
        <f>IF(BA18="","",BA18+N(AS18)/10000)</f>
        <v/>
      </c>
    </row>
    <row r="19" ht="30" customHeight="1">
      <c r="A19" s="28" t="n">
        <v>13</v>
      </c>
      <c r="B19" s="29" t="inlineStr">
        <is>
          <t>3rd Sem - A</t>
        </is>
      </c>
      <c r="C19" s="29" t="n"/>
      <c r="D19" s="6" t="n"/>
      <c r="E19" s="6" t="n"/>
      <c r="F19" s="29" t="n"/>
      <c r="G19" s="29" t="n"/>
      <c r="H19" s="6" t="n"/>
      <c r="I19" s="29" t="n"/>
      <c r="J19" s="29" t="n"/>
      <c r="K19" s="29" t="n"/>
      <c r="L19" s="29" t="n"/>
      <c r="M19" s="29" t="n"/>
      <c r="N19" s="29" t="n"/>
      <c r="O19" s="29" t="n"/>
      <c r="P19" s="29" t="n"/>
      <c r="Q19" s="29" t="n"/>
      <c r="R19" s="29" t="n"/>
      <c r="S19" s="29" t="n"/>
      <c r="T19" s="29" t="n"/>
      <c r="U19" s="29" t="n"/>
      <c r="V19" s="29" t="n"/>
      <c r="W19" s="29" t="n"/>
      <c r="X19" s="29" t="n"/>
      <c r="Y19" s="29" t="n"/>
      <c r="Z19" s="29" t="n"/>
      <c r="AA19" s="29" t="n"/>
      <c r="AB19" s="29" t="n"/>
      <c r="AC19" s="29" t="n"/>
      <c r="AD19" s="29" t="n"/>
      <c r="AE19" s="29" t="n"/>
      <c r="AF19" s="29" t="n"/>
      <c r="AG19" s="29" t="n"/>
      <c r="AH19" s="29" t="n"/>
      <c r="AI19" s="29" t="n"/>
      <c r="AJ19" s="29" t="n"/>
      <c r="AK19" s="29" t="n"/>
      <c r="AL19" s="29" t="n"/>
      <c r="AM19" s="29" t="n"/>
      <c r="AN19" s="29" t="n"/>
      <c r="AO19" s="29" t="n"/>
      <c r="AP19" s="59">
        <f>IF(COUNT(I19,T19,AE19)=0,"",AVERAGE(I19,T19,AE19))</f>
        <v/>
      </c>
      <c r="AQ19" s="59">
        <f>IF(COUNT(J19,U19,AF19)=0,"",AVERAGE(J19,U19,AF19))</f>
        <v/>
      </c>
      <c r="AR19" s="59">
        <f>IF(COUNT(K19,V19,AG19)=0,"",AVERAGE(K19,V19,AG19))</f>
        <v/>
      </c>
      <c r="AS19" s="59">
        <f>IF(COUNT(L19,W19,AH19)=0,"",AVERAGE(L19,W19,AH19))</f>
        <v/>
      </c>
      <c r="AT19" s="59">
        <f>IF(COUNT(M19,X19,AI19)=0,"",AVERAGE(M19,X19,AI19))</f>
        <v/>
      </c>
      <c r="AU19" s="59">
        <f>IF(COUNT(N19,Y19,AJ19)=0,"",AVERAGE(N19,Y19,AJ19))</f>
        <v/>
      </c>
      <c r="AV19" s="59">
        <f>IF(COUNT(O19,Z19,AK19)=0,"",AVERAGE(O19,Z19,AK19))</f>
        <v/>
      </c>
      <c r="AW19" s="59">
        <f>IF(COUNT(P19,AA19,AL19)=0,"",AVERAGE(P19,AA19,AL19))</f>
        <v/>
      </c>
      <c r="AX19" s="59">
        <f>IF(COUNT(Q19,AB19,AM19)=0,"",AVERAGE(Q19,AB19,AM19))</f>
        <v/>
      </c>
      <c r="AY19" s="60">
        <f>IF(OR($F19="",COUNT(R19,AC19,AN19)=0),"",AVERAGE(R19,AC19,AN19))</f>
        <v/>
      </c>
      <c r="AZ19" s="60">
        <f>IF(OR($G19="",$G19=$F19,COUNT(S19,AD19,AO19)=0),"",AVERAGE(S19,AD19,AO19))</f>
        <v/>
      </c>
      <c r="BA19" s="61">
        <f>IF(COUNT(AP19:AX19)=0,"",SUM(AP19:AX19))</f>
        <v/>
      </c>
      <c r="BB19" s="62">
        <f>IF(BA19="","",BA19/BA$6)</f>
        <v/>
      </c>
      <c r="BC19" s="14">
        <f>IF(BR19="","",COUNTIF($BR$7:$BR$26,"&gt;"&amp;BR19)+COUNTIF($BR$7:BR19,BR19))</f>
        <v/>
      </c>
      <c r="BD19" s="63">
        <f>IF(BC19="","",IF(BC19&lt;=Mapping!$C$11,"Shortlisted","Not shortlisted"))</f>
        <v/>
      </c>
      <c r="BE19" s="64">
        <f>IFERROR((AP19/AP$6*Mapping!$D$15+AQ19/AQ$6*Mapping!$D$16+AR19/AR$6*Mapping!$D$17+AS19/AS$6*Mapping!$D$18+AT19/AT$6*Mapping!$D$19+AU19/AU$6*Mapping!$D$20+AV19/AV$6*Mapping!$D$21+AW19/AW$6*Mapping!$D$22+AX19/AX$6*Mapping!$D$23)/SUM(Mapping!$D$15:$D$23),"")</f>
        <v/>
      </c>
      <c r="BF19" s="64">
        <f>IFERROR((AP19/AP$6*Mapping!$E$15+AQ19/AQ$6*Mapping!$E$16+AR19/AR$6*Mapping!$E$17+AS19/AS$6*Mapping!$E$18+AT19/AT$6*Mapping!$E$19+AU19/AU$6*Mapping!$E$20+AV19/AV$6*Mapping!$E$21+AW19/AW$6*Mapping!$E$22+AX19/AX$6*Mapping!$E$23)/SUM(Mapping!$E$15:$E$23),"")</f>
        <v/>
      </c>
      <c r="BG19" s="64">
        <f>IFERROR((AP19/AP$6*Mapping!$F$15+AQ19/AQ$6*Mapping!$F$16+AR19/AR$6*Mapping!$F$17+AS19/AS$6*Mapping!$F$18+AT19/AT$6*Mapping!$F$19+AU19/AU$6*Mapping!$F$20+AV19/AV$6*Mapping!$F$21+AW19/AW$6*Mapping!$F$22+AX19/AX$6*Mapping!$F$23)/SUM(Mapping!$F$15:$F$23),"")</f>
        <v/>
      </c>
      <c r="BH19" s="64">
        <f>IFERROR((AP19/AP$6*Mapping!$G$15+AQ19/AQ$6*Mapping!$G$16+AR19/AR$6*Mapping!$G$17+AS19/AS$6*Mapping!$G$18+AT19/AT$6*Mapping!$G$19+AU19/AU$6*Mapping!$G$20+AV19/AV$6*Mapping!$G$21+AW19/AW$6*Mapping!$G$22+AX19/AX$6*Mapping!$G$23)/SUM(Mapping!$G$15:$G$23),"")</f>
        <v/>
      </c>
      <c r="BI19" s="64">
        <f>IFERROR((AP19/AP$6*Mapping!$H$15+AQ19/AQ$6*Mapping!$H$16+AR19/AR$6*Mapping!$H$17+AS19/AS$6*Mapping!$H$18+AT19/AT$6*Mapping!$H$19+AU19/AU$6*Mapping!$H$20+AV19/AV$6*Mapping!$H$21+AW19/AW$6*Mapping!$H$22+AX19/AX$6*Mapping!$H$23)/SUM(Mapping!$H$15:$H$23),"")</f>
        <v/>
      </c>
      <c r="BJ19" s="64">
        <f>IFERROR((AP19/AP$6*Mapping!$I$15+AQ19/AQ$6*Mapping!$I$16+AR19/AR$6*Mapping!$I$17+AS19/AS$6*Mapping!$I$18+AT19/AT$6*Mapping!$I$19+AU19/AU$6*Mapping!$I$20+AV19/AV$6*Mapping!$I$21+AW19/AW$6*Mapping!$I$22+AX19/AX$6*Mapping!$I$23)/SUM(Mapping!$I$15:$I$23),"")</f>
        <v/>
      </c>
      <c r="BK19" s="64">
        <f>IFERROR((AP19/AP$6*Mapping!$J$15+AQ19/AQ$6*Mapping!$J$16+AR19/AR$6*Mapping!$J$17+AS19/AS$6*Mapping!$J$18+AT19/AT$6*Mapping!$J$19+AU19/AU$6*Mapping!$J$20+AV19/AV$6*Mapping!$J$21+AW19/AW$6*Mapping!$J$22+AX19/AX$6*Mapping!$J$23)/SUM(Mapping!$J$15:$J$23),"")</f>
        <v/>
      </c>
      <c r="BL19" s="64">
        <f>IFERROR((AP19/AP$6*Mapping!$K$15+AQ19/AQ$6*Mapping!$K$16+AR19/AR$6*Mapping!$K$17+AS19/AS$6*Mapping!$K$18+AT19/AT$6*Mapping!$K$19+AU19/AU$6*Mapping!$K$20+AV19/AV$6*Mapping!$K$21+AW19/AW$6*Mapping!$K$22+AX19/AX$6*Mapping!$K$23)/SUM(Mapping!$K$15:$K$23),"")</f>
        <v/>
      </c>
      <c r="BM19" s="64">
        <f>IFERROR((AP19/AP$6*Mapping!$L$15+AQ19/AQ$6*Mapping!$L$16+AR19/AR$6*Mapping!$L$17+AS19/AS$6*Mapping!$L$18+AT19/AT$6*Mapping!$L$19+AU19/AU$6*Mapping!$L$20+AV19/AV$6*Mapping!$L$21+AW19/AW$6*Mapping!$L$22+AX19/AX$6*Mapping!$L$23)/SUM(Mapping!$L$15:$L$23),"")</f>
        <v/>
      </c>
      <c r="BN19" s="64">
        <f>IFERROR((AP19/AP$6*Mapping!$M$15+AQ19/AQ$6*Mapping!$M$16+AR19/AR$6*Mapping!$M$17+AS19/AS$6*Mapping!$M$18+AT19/AT$6*Mapping!$M$19+AU19/AU$6*Mapping!$M$20+AV19/AV$6*Mapping!$M$21+AW19/AW$6*Mapping!$M$22+AX19/AX$6*Mapping!$M$23)/SUM(Mapping!$M$15:$M$23),"")</f>
        <v/>
      </c>
      <c r="BO19" s="64">
        <f>IFERROR((AP19/AP$6*Mapping!$N$15+AQ19/AQ$6*Mapping!$N$16+AR19/AR$6*Mapping!$N$17+AS19/AS$6*Mapping!$N$18+AT19/AT$6*Mapping!$N$19+AU19/AU$6*Mapping!$N$20+AV19/AV$6*Mapping!$N$21+AW19/AW$6*Mapping!$N$22+AX19/AX$6*Mapping!$N$23)/SUM(Mapping!$N$15:$N$23),"")</f>
        <v/>
      </c>
      <c r="BP19" s="64">
        <f>IFERROR((AP19/AP$6*Mapping!$O$15+AQ19/AQ$6*Mapping!$O$16+AR19/AR$6*Mapping!$O$17+AS19/AS$6*Mapping!$O$18+AT19/AT$6*Mapping!$O$19+AU19/AU$6*Mapping!$O$20+AV19/AV$6*Mapping!$O$21+AW19/AW$6*Mapping!$O$22+AX19/AX$6*Mapping!$O$23)/SUM(Mapping!$O$15:$O$23),"")</f>
        <v/>
      </c>
      <c r="BQ19" s="64">
        <f>IFERROR((AP19/AP$6*Mapping!$P$15+AQ19/AQ$6*Mapping!$P$16+AR19/AR$6*Mapping!$P$17+AS19/AS$6*Mapping!$P$18+AT19/AT$6*Mapping!$P$19+AU19/AU$6*Mapping!$P$20+AV19/AV$6*Mapping!$P$21+AW19/AW$6*Mapping!$P$22+AX19/AX$6*Mapping!$P$23)/SUM(Mapping!$P$15:$P$23),"")</f>
        <v/>
      </c>
      <c r="BR19" s="65">
        <f>IF(BA19="","",BA19+N(AS19)/10000)</f>
        <v/>
      </c>
    </row>
    <row r="20" ht="30" customHeight="1">
      <c r="A20" s="28" t="n">
        <v>14</v>
      </c>
      <c r="B20" s="29" t="inlineStr">
        <is>
          <t>3rd Sem - A</t>
        </is>
      </c>
      <c r="C20" s="29" t="n"/>
      <c r="D20" s="6" t="n"/>
      <c r="E20" s="6" t="n"/>
      <c r="F20" s="29" t="n"/>
      <c r="G20" s="29" t="n"/>
      <c r="H20" s="6" t="n"/>
      <c r="I20" s="29" t="n"/>
      <c r="J20" s="29" t="n"/>
      <c r="K20" s="29" t="n"/>
      <c r="L20" s="29" t="n"/>
      <c r="M20" s="29" t="n"/>
      <c r="N20" s="29" t="n"/>
      <c r="O20" s="29" t="n"/>
      <c r="P20" s="29" t="n"/>
      <c r="Q20" s="29" t="n"/>
      <c r="R20" s="29" t="n"/>
      <c r="S20" s="29" t="n"/>
      <c r="T20" s="29" t="n"/>
      <c r="U20" s="29" t="n"/>
      <c r="V20" s="29" t="n"/>
      <c r="W20" s="29" t="n"/>
      <c r="X20" s="29" t="n"/>
      <c r="Y20" s="29" t="n"/>
      <c r="Z20" s="29" t="n"/>
      <c r="AA20" s="29" t="n"/>
      <c r="AB20" s="29" t="n"/>
      <c r="AC20" s="29" t="n"/>
      <c r="AD20" s="29" t="n"/>
      <c r="AE20" s="29" t="n"/>
      <c r="AF20" s="29" t="n"/>
      <c r="AG20" s="29" t="n"/>
      <c r="AH20" s="29" t="n"/>
      <c r="AI20" s="29" t="n"/>
      <c r="AJ20" s="29" t="n"/>
      <c r="AK20" s="29" t="n"/>
      <c r="AL20" s="29" t="n"/>
      <c r="AM20" s="29" t="n"/>
      <c r="AN20" s="29" t="n"/>
      <c r="AO20" s="29" t="n"/>
      <c r="AP20" s="59">
        <f>IF(COUNT(I20,T20,AE20)=0,"",AVERAGE(I20,T20,AE20))</f>
        <v/>
      </c>
      <c r="AQ20" s="59">
        <f>IF(COUNT(J20,U20,AF20)=0,"",AVERAGE(J20,U20,AF20))</f>
        <v/>
      </c>
      <c r="AR20" s="59">
        <f>IF(COUNT(K20,V20,AG20)=0,"",AVERAGE(K20,V20,AG20))</f>
        <v/>
      </c>
      <c r="AS20" s="59">
        <f>IF(COUNT(L20,W20,AH20)=0,"",AVERAGE(L20,W20,AH20))</f>
        <v/>
      </c>
      <c r="AT20" s="59">
        <f>IF(COUNT(M20,X20,AI20)=0,"",AVERAGE(M20,X20,AI20))</f>
        <v/>
      </c>
      <c r="AU20" s="59">
        <f>IF(COUNT(N20,Y20,AJ20)=0,"",AVERAGE(N20,Y20,AJ20))</f>
        <v/>
      </c>
      <c r="AV20" s="59">
        <f>IF(COUNT(O20,Z20,AK20)=0,"",AVERAGE(O20,Z20,AK20))</f>
        <v/>
      </c>
      <c r="AW20" s="59">
        <f>IF(COUNT(P20,AA20,AL20)=0,"",AVERAGE(P20,AA20,AL20))</f>
        <v/>
      </c>
      <c r="AX20" s="59">
        <f>IF(COUNT(Q20,AB20,AM20)=0,"",AVERAGE(Q20,AB20,AM20))</f>
        <v/>
      </c>
      <c r="AY20" s="60">
        <f>IF(OR($F20="",COUNT(R20,AC20,AN20)=0),"",AVERAGE(R20,AC20,AN20))</f>
        <v/>
      </c>
      <c r="AZ20" s="60">
        <f>IF(OR($G20="",$G20=$F20,COUNT(S20,AD20,AO20)=0),"",AVERAGE(S20,AD20,AO20))</f>
        <v/>
      </c>
      <c r="BA20" s="61">
        <f>IF(COUNT(AP20:AX20)=0,"",SUM(AP20:AX20))</f>
        <v/>
      </c>
      <c r="BB20" s="62">
        <f>IF(BA20="","",BA20/BA$6)</f>
        <v/>
      </c>
      <c r="BC20" s="14">
        <f>IF(BR20="","",COUNTIF($BR$7:$BR$26,"&gt;"&amp;BR20)+COUNTIF($BR$7:BR20,BR20))</f>
        <v/>
      </c>
      <c r="BD20" s="63">
        <f>IF(BC20="","",IF(BC20&lt;=Mapping!$C$11,"Shortlisted","Not shortlisted"))</f>
        <v/>
      </c>
      <c r="BE20" s="64">
        <f>IFERROR((AP20/AP$6*Mapping!$D$15+AQ20/AQ$6*Mapping!$D$16+AR20/AR$6*Mapping!$D$17+AS20/AS$6*Mapping!$D$18+AT20/AT$6*Mapping!$D$19+AU20/AU$6*Mapping!$D$20+AV20/AV$6*Mapping!$D$21+AW20/AW$6*Mapping!$D$22+AX20/AX$6*Mapping!$D$23)/SUM(Mapping!$D$15:$D$23),"")</f>
        <v/>
      </c>
      <c r="BF20" s="64">
        <f>IFERROR((AP20/AP$6*Mapping!$E$15+AQ20/AQ$6*Mapping!$E$16+AR20/AR$6*Mapping!$E$17+AS20/AS$6*Mapping!$E$18+AT20/AT$6*Mapping!$E$19+AU20/AU$6*Mapping!$E$20+AV20/AV$6*Mapping!$E$21+AW20/AW$6*Mapping!$E$22+AX20/AX$6*Mapping!$E$23)/SUM(Mapping!$E$15:$E$23),"")</f>
        <v/>
      </c>
      <c r="BG20" s="64">
        <f>IFERROR((AP20/AP$6*Mapping!$F$15+AQ20/AQ$6*Mapping!$F$16+AR20/AR$6*Mapping!$F$17+AS20/AS$6*Mapping!$F$18+AT20/AT$6*Mapping!$F$19+AU20/AU$6*Mapping!$F$20+AV20/AV$6*Mapping!$F$21+AW20/AW$6*Mapping!$F$22+AX20/AX$6*Mapping!$F$23)/SUM(Mapping!$F$15:$F$23),"")</f>
        <v/>
      </c>
      <c r="BH20" s="64">
        <f>IFERROR((AP20/AP$6*Mapping!$G$15+AQ20/AQ$6*Mapping!$G$16+AR20/AR$6*Mapping!$G$17+AS20/AS$6*Mapping!$G$18+AT20/AT$6*Mapping!$G$19+AU20/AU$6*Mapping!$G$20+AV20/AV$6*Mapping!$G$21+AW20/AW$6*Mapping!$G$22+AX20/AX$6*Mapping!$G$23)/SUM(Mapping!$G$15:$G$23),"")</f>
        <v/>
      </c>
      <c r="BI20" s="64">
        <f>IFERROR((AP20/AP$6*Mapping!$H$15+AQ20/AQ$6*Mapping!$H$16+AR20/AR$6*Mapping!$H$17+AS20/AS$6*Mapping!$H$18+AT20/AT$6*Mapping!$H$19+AU20/AU$6*Mapping!$H$20+AV20/AV$6*Mapping!$H$21+AW20/AW$6*Mapping!$H$22+AX20/AX$6*Mapping!$H$23)/SUM(Mapping!$H$15:$H$23),"")</f>
        <v/>
      </c>
      <c r="BJ20" s="64">
        <f>IFERROR((AP20/AP$6*Mapping!$I$15+AQ20/AQ$6*Mapping!$I$16+AR20/AR$6*Mapping!$I$17+AS20/AS$6*Mapping!$I$18+AT20/AT$6*Mapping!$I$19+AU20/AU$6*Mapping!$I$20+AV20/AV$6*Mapping!$I$21+AW20/AW$6*Mapping!$I$22+AX20/AX$6*Mapping!$I$23)/SUM(Mapping!$I$15:$I$23),"")</f>
        <v/>
      </c>
      <c r="BK20" s="64">
        <f>IFERROR((AP20/AP$6*Mapping!$J$15+AQ20/AQ$6*Mapping!$J$16+AR20/AR$6*Mapping!$J$17+AS20/AS$6*Mapping!$J$18+AT20/AT$6*Mapping!$J$19+AU20/AU$6*Mapping!$J$20+AV20/AV$6*Mapping!$J$21+AW20/AW$6*Mapping!$J$22+AX20/AX$6*Mapping!$J$23)/SUM(Mapping!$J$15:$J$23),"")</f>
        <v/>
      </c>
      <c r="BL20" s="64">
        <f>IFERROR((AP20/AP$6*Mapping!$K$15+AQ20/AQ$6*Mapping!$K$16+AR20/AR$6*Mapping!$K$17+AS20/AS$6*Mapping!$K$18+AT20/AT$6*Mapping!$K$19+AU20/AU$6*Mapping!$K$20+AV20/AV$6*Mapping!$K$21+AW20/AW$6*Mapping!$K$22+AX20/AX$6*Mapping!$K$23)/SUM(Mapping!$K$15:$K$23),"")</f>
        <v/>
      </c>
      <c r="BM20" s="64">
        <f>IFERROR((AP20/AP$6*Mapping!$L$15+AQ20/AQ$6*Mapping!$L$16+AR20/AR$6*Mapping!$L$17+AS20/AS$6*Mapping!$L$18+AT20/AT$6*Mapping!$L$19+AU20/AU$6*Mapping!$L$20+AV20/AV$6*Mapping!$L$21+AW20/AW$6*Mapping!$L$22+AX20/AX$6*Mapping!$L$23)/SUM(Mapping!$L$15:$L$23),"")</f>
        <v/>
      </c>
      <c r="BN20" s="64">
        <f>IFERROR((AP20/AP$6*Mapping!$M$15+AQ20/AQ$6*Mapping!$M$16+AR20/AR$6*Mapping!$M$17+AS20/AS$6*Mapping!$M$18+AT20/AT$6*Mapping!$M$19+AU20/AU$6*Mapping!$M$20+AV20/AV$6*Mapping!$M$21+AW20/AW$6*Mapping!$M$22+AX20/AX$6*Mapping!$M$23)/SUM(Mapping!$M$15:$M$23),"")</f>
        <v/>
      </c>
      <c r="BO20" s="64">
        <f>IFERROR((AP20/AP$6*Mapping!$N$15+AQ20/AQ$6*Mapping!$N$16+AR20/AR$6*Mapping!$N$17+AS20/AS$6*Mapping!$N$18+AT20/AT$6*Mapping!$N$19+AU20/AU$6*Mapping!$N$20+AV20/AV$6*Mapping!$N$21+AW20/AW$6*Mapping!$N$22+AX20/AX$6*Mapping!$N$23)/SUM(Mapping!$N$15:$N$23),"")</f>
        <v/>
      </c>
      <c r="BP20" s="64">
        <f>IFERROR((AP20/AP$6*Mapping!$O$15+AQ20/AQ$6*Mapping!$O$16+AR20/AR$6*Mapping!$O$17+AS20/AS$6*Mapping!$O$18+AT20/AT$6*Mapping!$O$19+AU20/AU$6*Mapping!$O$20+AV20/AV$6*Mapping!$O$21+AW20/AW$6*Mapping!$O$22+AX20/AX$6*Mapping!$O$23)/SUM(Mapping!$O$15:$O$23),"")</f>
        <v/>
      </c>
      <c r="BQ20" s="64">
        <f>IFERROR((AP20/AP$6*Mapping!$P$15+AQ20/AQ$6*Mapping!$P$16+AR20/AR$6*Mapping!$P$17+AS20/AS$6*Mapping!$P$18+AT20/AT$6*Mapping!$P$19+AU20/AU$6*Mapping!$P$20+AV20/AV$6*Mapping!$P$21+AW20/AW$6*Mapping!$P$22+AX20/AX$6*Mapping!$P$23)/SUM(Mapping!$P$15:$P$23),"")</f>
        <v/>
      </c>
      <c r="BR20" s="65">
        <f>IF(BA20="","",BA20+N(AS20)/10000)</f>
        <v/>
      </c>
    </row>
    <row r="21" ht="30" customHeight="1">
      <c r="A21" s="28" t="n">
        <v>15</v>
      </c>
      <c r="B21" s="29" t="inlineStr">
        <is>
          <t>3rd Sem - A</t>
        </is>
      </c>
      <c r="C21" s="29" t="n"/>
      <c r="D21" s="6" t="n"/>
      <c r="E21" s="6" t="n"/>
      <c r="F21" s="29" t="n"/>
      <c r="G21" s="29" t="n"/>
      <c r="H21" s="6" t="n"/>
      <c r="I21" s="29" t="n"/>
      <c r="J21" s="29" t="n"/>
      <c r="K21" s="29" t="n"/>
      <c r="L21" s="29" t="n"/>
      <c r="M21" s="29" t="n"/>
      <c r="N21" s="29" t="n"/>
      <c r="O21" s="29" t="n"/>
      <c r="P21" s="29" t="n"/>
      <c r="Q21" s="29" t="n"/>
      <c r="R21" s="29" t="n"/>
      <c r="S21" s="29" t="n"/>
      <c r="T21" s="29" t="n"/>
      <c r="U21" s="29" t="n"/>
      <c r="V21" s="29" t="n"/>
      <c r="W21" s="29" t="n"/>
      <c r="X21" s="29" t="n"/>
      <c r="Y21" s="29" t="n"/>
      <c r="Z21" s="29" t="n"/>
      <c r="AA21" s="29" t="n"/>
      <c r="AB21" s="29" t="n"/>
      <c r="AC21" s="29" t="n"/>
      <c r="AD21" s="29" t="n"/>
      <c r="AE21" s="29" t="n"/>
      <c r="AF21" s="29" t="n"/>
      <c r="AG21" s="29" t="n"/>
      <c r="AH21" s="29" t="n"/>
      <c r="AI21" s="29" t="n"/>
      <c r="AJ21" s="29" t="n"/>
      <c r="AK21" s="29" t="n"/>
      <c r="AL21" s="29" t="n"/>
      <c r="AM21" s="29" t="n"/>
      <c r="AN21" s="29" t="n"/>
      <c r="AO21" s="29" t="n"/>
      <c r="AP21" s="59">
        <f>IF(COUNT(I21,T21,AE21)=0,"",AVERAGE(I21,T21,AE21))</f>
        <v/>
      </c>
      <c r="AQ21" s="59">
        <f>IF(COUNT(J21,U21,AF21)=0,"",AVERAGE(J21,U21,AF21))</f>
        <v/>
      </c>
      <c r="AR21" s="59">
        <f>IF(COUNT(K21,V21,AG21)=0,"",AVERAGE(K21,V21,AG21))</f>
        <v/>
      </c>
      <c r="AS21" s="59">
        <f>IF(COUNT(L21,W21,AH21)=0,"",AVERAGE(L21,W21,AH21))</f>
        <v/>
      </c>
      <c r="AT21" s="59">
        <f>IF(COUNT(M21,X21,AI21)=0,"",AVERAGE(M21,X21,AI21))</f>
        <v/>
      </c>
      <c r="AU21" s="59">
        <f>IF(COUNT(N21,Y21,AJ21)=0,"",AVERAGE(N21,Y21,AJ21))</f>
        <v/>
      </c>
      <c r="AV21" s="59">
        <f>IF(COUNT(O21,Z21,AK21)=0,"",AVERAGE(O21,Z21,AK21))</f>
        <v/>
      </c>
      <c r="AW21" s="59">
        <f>IF(COUNT(P21,AA21,AL21)=0,"",AVERAGE(P21,AA21,AL21))</f>
        <v/>
      </c>
      <c r="AX21" s="59">
        <f>IF(COUNT(Q21,AB21,AM21)=0,"",AVERAGE(Q21,AB21,AM21))</f>
        <v/>
      </c>
      <c r="AY21" s="60">
        <f>IF(OR($F21="",COUNT(R21,AC21,AN21)=0),"",AVERAGE(R21,AC21,AN21))</f>
        <v/>
      </c>
      <c r="AZ21" s="60">
        <f>IF(OR($G21="",$G21=$F21,COUNT(S21,AD21,AO21)=0),"",AVERAGE(S21,AD21,AO21))</f>
        <v/>
      </c>
      <c r="BA21" s="61">
        <f>IF(COUNT(AP21:AX21)=0,"",SUM(AP21:AX21))</f>
        <v/>
      </c>
      <c r="BB21" s="62">
        <f>IF(BA21="","",BA21/BA$6)</f>
        <v/>
      </c>
      <c r="BC21" s="14">
        <f>IF(BR21="","",COUNTIF($BR$7:$BR$26,"&gt;"&amp;BR21)+COUNTIF($BR$7:BR21,BR21))</f>
        <v/>
      </c>
      <c r="BD21" s="63">
        <f>IF(BC21="","",IF(BC21&lt;=Mapping!$C$11,"Shortlisted","Not shortlisted"))</f>
        <v/>
      </c>
      <c r="BE21" s="64">
        <f>IFERROR((AP21/AP$6*Mapping!$D$15+AQ21/AQ$6*Mapping!$D$16+AR21/AR$6*Mapping!$D$17+AS21/AS$6*Mapping!$D$18+AT21/AT$6*Mapping!$D$19+AU21/AU$6*Mapping!$D$20+AV21/AV$6*Mapping!$D$21+AW21/AW$6*Mapping!$D$22+AX21/AX$6*Mapping!$D$23)/SUM(Mapping!$D$15:$D$23),"")</f>
        <v/>
      </c>
      <c r="BF21" s="64">
        <f>IFERROR((AP21/AP$6*Mapping!$E$15+AQ21/AQ$6*Mapping!$E$16+AR21/AR$6*Mapping!$E$17+AS21/AS$6*Mapping!$E$18+AT21/AT$6*Mapping!$E$19+AU21/AU$6*Mapping!$E$20+AV21/AV$6*Mapping!$E$21+AW21/AW$6*Mapping!$E$22+AX21/AX$6*Mapping!$E$23)/SUM(Mapping!$E$15:$E$23),"")</f>
        <v/>
      </c>
      <c r="BG21" s="64">
        <f>IFERROR((AP21/AP$6*Mapping!$F$15+AQ21/AQ$6*Mapping!$F$16+AR21/AR$6*Mapping!$F$17+AS21/AS$6*Mapping!$F$18+AT21/AT$6*Mapping!$F$19+AU21/AU$6*Mapping!$F$20+AV21/AV$6*Mapping!$F$21+AW21/AW$6*Mapping!$F$22+AX21/AX$6*Mapping!$F$23)/SUM(Mapping!$F$15:$F$23),"")</f>
        <v/>
      </c>
      <c r="BH21" s="64">
        <f>IFERROR((AP21/AP$6*Mapping!$G$15+AQ21/AQ$6*Mapping!$G$16+AR21/AR$6*Mapping!$G$17+AS21/AS$6*Mapping!$G$18+AT21/AT$6*Mapping!$G$19+AU21/AU$6*Mapping!$G$20+AV21/AV$6*Mapping!$G$21+AW21/AW$6*Mapping!$G$22+AX21/AX$6*Mapping!$G$23)/SUM(Mapping!$G$15:$G$23),"")</f>
        <v/>
      </c>
      <c r="BI21" s="64">
        <f>IFERROR((AP21/AP$6*Mapping!$H$15+AQ21/AQ$6*Mapping!$H$16+AR21/AR$6*Mapping!$H$17+AS21/AS$6*Mapping!$H$18+AT21/AT$6*Mapping!$H$19+AU21/AU$6*Mapping!$H$20+AV21/AV$6*Mapping!$H$21+AW21/AW$6*Mapping!$H$22+AX21/AX$6*Mapping!$H$23)/SUM(Mapping!$H$15:$H$23),"")</f>
        <v/>
      </c>
      <c r="BJ21" s="64">
        <f>IFERROR((AP21/AP$6*Mapping!$I$15+AQ21/AQ$6*Mapping!$I$16+AR21/AR$6*Mapping!$I$17+AS21/AS$6*Mapping!$I$18+AT21/AT$6*Mapping!$I$19+AU21/AU$6*Mapping!$I$20+AV21/AV$6*Mapping!$I$21+AW21/AW$6*Mapping!$I$22+AX21/AX$6*Mapping!$I$23)/SUM(Mapping!$I$15:$I$23),"")</f>
        <v/>
      </c>
      <c r="BK21" s="64">
        <f>IFERROR((AP21/AP$6*Mapping!$J$15+AQ21/AQ$6*Mapping!$J$16+AR21/AR$6*Mapping!$J$17+AS21/AS$6*Mapping!$J$18+AT21/AT$6*Mapping!$J$19+AU21/AU$6*Mapping!$J$20+AV21/AV$6*Mapping!$J$21+AW21/AW$6*Mapping!$J$22+AX21/AX$6*Mapping!$J$23)/SUM(Mapping!$J$15:$J$23),"")</f>
        <v/>
      </c>
      <c r="BL21" s="64">
        <f>IFERROR((AP21/AP$6*Mapping!$K$15+AQ21/AQ$6*Mapping!$K$16+AR21/AR$6*Mapping!$K$17+AS21/AS$6*Mapping!$K$18+AT21/AT$6*Mapping!$K$19+AU21/AU$6*Mapping!$K$20+AV21/AV$6*Mapping!$K$21+AW21/AW$6*Mapping!$K$22+AX21/AX$6*Mapping!$K$23)/SUM(Mapping!$K$15:$K$23),"")</f>
        <v/>
      </c>
      <c r="BM21" s="64">
        <f>IFERROR((AP21/AP$6*Mapping!$L$15+AQ21/AQ$6*Mapping!$L$16+AR21/AR$6*Mapping!$L$17+AS21/AS$6*Mapping!$L$18+AT21/AT$6*Mapping!$L$19+AU21/AU$6*Mapping!$L$20+AV21/AV$6*Mapping!$L$21+AW21/AW$6*Mapping!$L$22+AX21/AX$6*Mapping!$L$23)/SUM(Mapping!$L$15:$L$23),"")</f>
        <v/>
      </c>
      <c r="BN21" s="64">
        <f>IFERROR((AP21/AP$6*Mapping!$M$15+AQ21/AQ$6*Mapping!$M$16+AR21/AR$6*Mapping!$M$17+AS21/AS$6*Mapping!$M$18+AT21/AT$6*Mapping!$M$19+AU21/AU$6*Mapping!$M$20+AV21/AV$6*Mapping!$M$21+AW21/AW$6*Mapping!$M$22+AX21/AX$6*Mapping!$M$23)/SUM(Mapping!$M$15:$M$23),"")</f>
        <v/>
      </c>
      <c r="BO21" s="64">
        <f>IFERROR((AP21/AP$6*Mapping!$N$15+AQ21/AQ$6*Mapping!$N$16+AR21/AR$6*Mapping!$N$17+AS21/AS$6*Mapping!$N$18+AT21/AT$6*Mapping!$N$19+AU21/AU$6*Mapping!$N$20+AV21/AV$6*Mapping!$N$21+AW21/AW$6*Mapping!$N$22+AX21/AX$6*Mapping!$N$23)/SUM(Mapping!$N$15:$N$23),"")</f>
        <v/>
      </c>
      <c r="BP21" s="64">
        <f>IFERROR((AP21/AP$6*Mapping!$O$15+AQ21/AQ$6*Mapping!$O$16+AR21/AR$6*Mapping!$O$17+AS21/AS$6*Mapping!$O$18+AT21/AT$6*Mapping!$O$19+AU21/AU$6*Mapping!$O$20+AV21/AV$6*Mapping!$O$21+AW21/AW$6*Mapping!$O$22+AX21/AX$6*Mapping!$O$23)/SUM(Mapping!$O$15:$O$23),"")</f>
        <v/>
      </c>
      <c r="BQ21" s="64">
        <f>IFERROR((AP21/AP$6*Mapping!$P$15+AQ21/AQ$6*Mapping!$P$16+AR21/AR$6*Mapping!$P$17+AS21/AS$6*Mapping!$P$18+AT21/AT$6*Mapping!$P$19+AU21/AU$6*Mapping!$P$20+AV21/AV$6*Mapping!$P$21+AW21/AW$6*Mapping!$P$22+AX21/AX$6*Mapping!$P$23)/SUM(Mapping!$P$15:$P$23),"")</f>
        <v/>
      </c>
      <c r="BR21" s="65">
        <f>IF(BA21="","",BA21+N(AS21)/10000)</f>
        <v/>
      </c>
    </row>
    <row r="22" ht="30" customHeight="1">
      <c r="A22" s="28" t="n">
        <v>16</v>
      </c>
      <c r="B22" s="29" t="inlineStr">
        <is>
          <t>3rd Sem - A</t>
        </is>
      </c>
      <c r="C22" s="29" t="n"/>
      <c r="D22" s="6" t="n"/>
      <c r="E22" s="6" t="n"/>
      <c r="F22" s="29" t="n"/>
      <c r="G22" s="29" t="n"/>
      <c r="H22" s="6" t="n"/>
      <c r="I22" s="29" t="n"/>
      <c r="J22" s="29" t="n"/>
      <c r="K22" s="29" t="n"/>
      <c r="L22" s="29" t="n"/>
      <c r="M22" s="29" t="n"/>
      <c r="N22" s="29" t="n"/>
      <c r="O22" s="29" t="n"/>
      <c r="P22" s="29" t="n"/>
      <c r="Q22" s="29" t="n"/>
      <c r="R22" s="29" t="n"/>
      <c r="S22" s="29" t="n"/>
      <c r="T22" s="29" t="n"/>
      <c r="U22" s="29" t="n"/>
      <c r="V22" s="29" t="n"/>
      <c r="W22" s="29" t="n"/>
      <c r="X22" s="29" t="n"/>
      <c r="Y22" s="29" t="n"/>
      <c r="Z22" s="29" t="n"/>
      <c r="AA22" s="29" t="n"/>
      <c r="AB22" s="29" t="n"/>
      <c r="AC22" s="29" t="n"/>
      <c r="AD22" s="29" t="n"/>
      <c r="AE22" s="29" t="n"/>
      <c r="AF22" s="29" t="n"/>
      <c r="AG22" s="29" t="n"/>
      <c r="AH22" s="29" t="n"/>
      <c r="AI22" s="29" t="n"/>
      <c r="AJ22" s="29" t="n"/>
      <c r="AK22" s="29" t="n"/>
      <c r="AL22" s="29" t="n"/>
      <c r="AM22" s="29" t="n"/>
      <c r="AN22" s="29" t="n"/>
      <c r="AO22" s="29" t="n"/>
      <c r="AP22" s="59">
        <f>IF(COUNT(I22,T22,AE22)=0,"",AVERAGE(I22,T22,AE22))</f>
        <v/>
      </c>
      <c r="AQ22" s="59">
        <f>IF(COUNT(J22,U22,AF22)=0,"",AVERAGE(J22,U22,AF22))</f>
        <v/>
      </c>
      <c r="AR22" s="59">
        <f>IF(COUNT(K22,V22,AG22)=0,"",AVERAGE(K22,V22,AG22))</f>
        <v/>
      </c>
      <c r="AS22" s="59">
        <f>IF(COUNT(L22,W22,AH22)=0,"",AVERAGE(L22,W22,AH22))</f>
        <v/>
      </c>
      <c r="AT22" s="59">
        <f>IF(COUNT(M22,X22,AI22)=0,"",AVERAGE(M22,X22,AI22))</f>
        <v/>
      </c>
      <c r="AU22" s="59">
        <f>IF(COUNT(N22,Y22,AJ22)=0,"",AVERAGE(N22,Y22,AJ22))</f>
        <v/>
      </c>
      <c r="AV22" s="59">
        <f>IF(COUNT(O22,Z22,AK22)=0,"",AVERAGE(O22,Z22,AK22))</f>
        <v/>
      </c>
      <c r="AW22" s="59">
        <f>IF(COUNT(P22,AA22,AL22)=0,"",AVERAGE(P22,AA22,AL22))</f>
        <v/>
      </c>
      <c r="AX22" s="59">
        <f>IF(COUNT(Q22,AB22,AM22)=0,"",AVERAGE(Q22,AB22,AM22))</f>
        <v/>
      </c>
      <c r="AY22" s="60">
        <f>IF(OR($F22="",COUNT(R22,AC22,AN22)=0),"",AVERAGE(R22,AC22,AN22))</f>
        <v/>
      </c>
      <c r="AZ22" s="60">
        <f>IF(OR($G22="",$G22=$F22,COUNT(S22,AD22,AO22)=0),"",AVERAGE(S22,AD22,AO22))</f>
        <v/>
      </c>
      <c r="BA22" s="61">
        <f>IF(COUNT(AP22:AX22)=0,"",SUM(AP22:AX22))</f>
        <v/>
      </c>
      <c r="BB22" s="62">
        <f>IF(BA22="","",BA22/BA$6)</f>
        <v/>
      </c>
      <c r="BC22" s="14">
        <f>IF(BR22="","",COUNTIF($BR$7:$BR$26,"&gt;"&amp;BR22)+COUNTIF($BR$7:BR22,BR22))</f>
        <v/>
      </c>
      <c r="BD22" s="63">
        <f>IF(BC22="","",IF(BC22&lt;=Mapping!$C$11,"Shortlisted","Not shortlisted"))</f>
        <v/>
      </c>
      <c r="BE22" s="64">
        <f>IFERROR((AP22/AP$6*Mapping!$D$15+AQ22/AQ$6*Mapping!$D$16+AR22/AR$6*Mapping!$D$17+AS22/AS$6*Mapping!$D$18+AT22/AT$6*Mapping!$D$19+AU22/AU$6*Mapping!$D$20+AV22/AV$6*Mapping!$D$21+AW22/AW$6*Mapping!$D$22+AX22/AX$6*Mapping!$D$23)/SUM(Mapping!$D$15:$D$23),"")</f>
        <v/>
      </c>
      <c r="BF22" s="64">
        <f>IFERROR((AP22/AP$6*Mapping!$E$15+AQ22/AQ$6*Mapping!$E$16+AR22/AR$6*Mapping!$E$17+AS22/AS$6*Mapping!$E$18+AT22/AT$6*Mapping!$E$19+AU22/AU$6*Mapping!$E$20+AV22/AV$6*Mapping!$E$21+AW22/AW$6*Mapping!$E$22+AX22/AX$6*Mapping!$E$23)/SUM(Mapping!$E$15:$E$23),"")</f>
        <v/>
      </c>
      <c r="BG22" s="64">
        <f>IFERROR((AP22/AP$6*Mapping!$F$15+AQ22/AQ$6*Mapping!$F$16+AR22/AR$6*Mapping!$F$17+AS22/AS$6*Mapping!$F$18+AT22/AT$6*Mapping!$F$19+AU22/AU$6*Mapping!$F$20+AV22/AV$6*Mapping!$F$21+AW22/AW$6*Mapping!$F$22+AX22/AX$6*Mapping!$F$23)/SUM(Mapping!$F$15:$F$23),"")</f>
        <v/>
      </c>
      <c r="BH22" s="64">
        <f>IFERROR((AP22/AP$6*Mapping!$G$15+AQ22/AQ$6*Mapping!$G$16+AR22/AR$6*Mapping!$G$17+AS22/AS$6*Mapping!$G$18+AT22/AT$6*Mapping!$G$19+AU22/AU$6*Mapping!$G$20+AV22/AV$6*Mapping!$G$21+AW22/AW$6*Mapping!$G$22+AX22/AX$6*Mapping!$G$23)/SUM(Mapping!$G$15:$G$23),"")</f>
        <v/>
      </c>
      <c r="BI22" s="64">
        <f>IFERROR((AP22/AP$6*Mapping!$H$15+AQ22/AQ$6*Mapping!$H$16+AR22/AR$6*Mapping!$H$17+AS22/AS$6*Mapping!$H$18+AT22/AT$6*Mapping!$H$19+AU22/AU$6*Mapping!$H$20+AV22/AV$6*Mapping!$H$21+AW22/AW$6*Mapping!$H$22+AX22/AX$6*Mapping!$H$23)/SUM(Mapping!$H$15:$H$23),"")</f>
        <v/>
      </c>
      <c r="BJ22" s="64">
        <f>IFERROR((AP22/AP$6*Mapping!$I$15+AQ22/AQ$6*Mapping!$I$16+AR22/AR$6*Mapping!$I$17+AS22/AS$6*Mapping!$I$18+AT22/AT$6*Mapping!$I$19+AU22/AU$6*Mapping!$I$20+AV22/AV$6*Mapping!$I$21+AW22/AW$6*Mapping!$I$22+AX22/AX$6*Mapping!$I$23)/SUM(Mapping!$I$15:$I$23),"")</f>
        <v/>
      </c>
      <c r="BK22" s="64">
        <f>IFERROR((AP22/AP$6*Mapping!$J$15+AQ22/AQ$6*Mapping!$J$16+AR22/AR$6*Mapping!$J$17+AS22/AS$6*Mapping!$J$18+AT22/AT$6*Mapping!$J$19+AU22/AU$6*Mapping!$J$20+AV22/AV$6*Mapping!$J$21+AW22/AW$6*Mapping!$J$22+AX22/AX$6*Mapping!$J$23)/SUM(Mapping!$J$15:$J$23),"")</f>
        <v/>
      </c>
      <c r="BL22" s="64">
        <f>IFERROR((AP22/AP$6*Mapping!$K$15+AQ22/AQ$6*Mapping!$K$16+AR22/AR$6*Mapping!$K$17+AS22/AS$6*Mapping!$K$18+AT22/AT$6*Mapping!$K$19+AU22/AU$6*Mapping!$K$20+AV22/AV$6*Mapping!$K$21+AW22/AW$6*Mapping!$K$22+AX22/AX$6*Mapping!$K$23)/SUM(Mapping!$K$15:$K$23),"")</f>
        <v/>
      </c>
      <c r="BM22" s="64">
        <f>IFERROR((AP22/AP$6*Mapping!$L$15+AQ22/AQ$6*Mapping!$L$16+AR22/AR$6*Mapping!$L$17+AS22/AS$6*Mapping!$L$18+AT22/AT$6*Mapping!$L$19+AU22/AU$6*Mapping!$L$20+AV22/AV$6*Mapping!$L$21+AW22/AW$6*Mapping!$L$22+AX22/AX$6*Mapping!$L$23)/SUM(Mapping!$L$15:$L$23),"")</f>
        <v/>
      </c>
      <c r="BN22" s="64">
        <f>IFERROR((AP22/AP$6*Mapping!$M$15+AQ22/AQ$6*Mapping!$M$16+AR22/AR$6*Mapping!$M$17+AS22/AS$6*Mapping!$M$18+AT22/AT$6*Mapping!$M$19+AU22/AU$6*Mapping!$M$20+AV22/AV$6*Mapping!$M$21+AW22/AW$6*Mapping!$M$22+AX22/AX$6*Mapping!$M$23)/SUM(Mapping!$M$15:$M$23),"")</f>
        <v/>
      </c>
      <c r="BO22" s="64">
        <f>IFERROR((AP22/AP$6*Mapping!$N$15+AQ22/AQ$6*Mapping!$N$16+AR22/AR$6*Mapping!$N$17+AS22/AS$6*Mapping!$N$18+AT22/AT$6*Mapping!$N$19+AU22/AU$6*Mapping!$N$20+AV22/AV$6*Mapping!$N$21+AW22/AW$6*Mapping!$N$22+AX22/AX$6*Mapping!$N$23)/SUM(Mapping!$N$15:$N$23),"")</f>
        <v/>
      </c>
      <c r="BP22" s="64">
        <f>IFERROR((AP22/AP$6*Mapping!$O$15+AQ22/AQ$6*Mapping!$O$16+AR22/AR$6*Mapping!$O$17+AS22/AS$6*Mapping!$O$18+AT22/AT$6*Mapping!$O$19+AU22/AU$6*Mapping!$O$20+AV22/AV$6*Mapping!$O$21+AW22/AW$6*Mapping!$O$22+AX22/AX$6*Mapping!$O$23)/SUM(Mapping!$O$15:$O$23),"")</f>
        <v/>
      </c>
      <c r="BQ22" s="64">
        <f>IFERROR((AP22/AP$6*Mapping!$P$15+AQ22/AQ$6*Mapping!$P$16+AR22/AR$6*Mapping!$P$17+AS22/AS$6*Mapping!$P$18+AT22/AT$6*Mapping!$P$19+AU22/AU$6*Mapping!$P$20+AV22/AV$6*Mapping!$P$21+AW22/AW$6*Mapping!$P$22+AX22/AX$6*Mapping!$P$23)/SUM(Mapping!$P$15:$P$23),"")</f>
        <v/>
      </c>
      <c r="BR22" s="65">
        <f>IF(BA22="","",BA22+N(AS22)/10000)</f>
        <v/>
      </c>
    </row>
    <row r="23" ht="30" customHeight="1">
      <c r="A23" s="28" t="n">
        <v>17</v>
      </c>
      <c r="B23" s="29" t="inlineStr">
        <is>
          <t>3rd Sem - A</t>
        </is>
      </c>
      <c r="C23" s="29" t="n"/>
      <c r="D23" s="6" t="n"/>
      <c r="E23" s="6" t="n"/>
      <c r="F23" s="29" t="n"/>
      <c r="G23" s="29" t="n"/>
      <c r="H23" s="6" t="n"/>
      <c r="I23" s="29" t="n"/>
      <c r="J23" s="29" t="n"/>
      <c r="K23" s="29" t="n"/>
      <c r="L23" s="29" t="n"/>
      <c r="M23" s="29" t="n"/>
      <c r="N23" s="29" t="n"/>
      <c r="O23" s="29" t="n"/>
      <c r="P23" s="29" t="n"/>
      <c r="Q23" s="29" t="n"/>
      <c r="R23" s="29" t="n"/>
      <c r="S23" s="29" t="n"/>
      <c r="T23" s="29" t="n"/>
      <c r="U23" s="29" t="n"/>
      <c r="V23" s="29" t="n"/>
      <c r="W23" s="29" t="n"/>
      <c r="X23" s="29" t="n"/>
      <c r="Y23" s="29" t="n"/>
      <c r="Z23" s="29" t="n"/>
      <c r="AA23" s="29" t="n"/>
      <c r="AB23" s="29" t="n"/>
      <c r="AC23" s="29" t="n"/>
      <c r="AD23" s="29" t="n"/>
      <c r="AE23" s="29" t="n"/>
      <c r="AF23" s="29" t="n"/>
      <c r="AG23" s="29" t="n"/>
      <c r="AH23" s="29" t="n"/>
      <c r="AI23" s="29" t="n"/>
      <c r="AJ23" s="29" t="n"/>
      <c r="AK23" s="29" t="n"/>
      <c r="AL23" s="29" t="n"/>
      <c r="AM23" s="29" t="n"/>
      <c r="AN23" s="29" t="n"/>
      <c r="AO23" s="29" t="n"/>
      <c r="AP23" s="59">
        <f>IF(COUNT(I23,T23,AE23)=0,"",AVERAGE(I23,T23,AE23))</f>
        <v/>
      </c>
      <c r="AQ23" s="59">
        <f>IF(COUNT(J23,U23,AF23)=0,"",AVERAGE(J23,U23,AF23))</f>
        <v/>
      </c>
      <c r="AR23" s="59">
        <f>IF(COUNT(K23,V23,AG23)=0,"",AVERAGE(K23,V23,AG23))</f>
        <v/>
      </c>
      <c r="AS23" s="59">
        <f>IF(COUNT(L23,W23,AH23)=0,"",AVERAGE(L23,W23,AH23))</f>
        <v/>
      </c>
      <c r="AT23" s="59">
        <f>IF(COUNT(M23,X23,AI23)=0,"",AVERAGE(M23,X23,AI23))</f>
        <v/>
      </c>
      <c r="AU23" s="59">
        <f>IF(COUNT(N23,Y23,AJ23)=0,"",AVERAGE(N23,Y23,AJ23))</f>
        <v/>
      </c>
      <c r="AV23" s="59">
        <f>IF(COUNT(O23,Z23,AK23)=0,"",AVERAGE(O23,Z23,AK23))</f>
        <v/>
      </c>
      <c r="AW23" s="59">
        <f>IF(COUNT(P23,AA23,AL23)=0,"",AVERAGE(P23,AA23,AL23))</f>
        <v/>
      </c>
      <c r="AX23" s="59">
        <f>IF(COUNT(Q23,AB23,AM23)=0,"",AVERAGE(Q23,AB23,AM23))</f>
        <v/>
      </c>
      <c r="AY23" s="60">
        <f>IF(OR($F23="",COUNT(R23,AC23,AN23)=0),"",AVERAGE(R23,AC23,AN23))</f>
        <v/>
      </c>
      <c r="AZ23" s="60">
        <f>IF(OR($G23="",$G23=$F23,COUNT(S23,AD23,AO23)=0),"",AVERAGE(S23,AD23,AO23))</f>
        <v/>
      </c>
      <c r="BA23" s="61">
        <f>IF(COUNT(AP23:AX23)=0,"",SUM(AP23:AX23))</f>
        <v/>
      </c>
      <c r="BB23" s="62">
        <f>IF(BA23="","",BA23/BA$6)</f>
        <v/>
      </c>
      <c r="BC23" s="14">
        <f>IF(BR23="","",COUNTIF($BR$7:$BR$26,"&gt;"&amp;BR23)+COUNTIF($BR$7:BR23,BR23))</f>
        <v/>
      </c>
      <c r="BD23" s="63">
        <f>IF(BC23="","",IF(BC23&lt;=Mapping!$C$11,"Shortlisted","Not shortlisted"))</f>
        <v/>
      </c>
      <c r="BE23" s="64">
        <f>IFERROR((AP23/AP$6*Mapping!$D$15+AQ23/AQ$6*Mapping!$D$16+AR23/AR$6*Mapping!$D$17+AS23/AS$6*Mapping!$D$18+AT23/AT$6*Mapping!$D$19+AU23/AU$6*Mapping!$D$20+AV23/AV$6*Mapping!$D$21+AW23/AW$6*Mapping!$D$22+AX23/AX$6*Mapping!$D$23)/SUM(Mapping!$D$15:$D$23),"")</f>
        <v/>
      </c>
      <c r="BF23" s="64">
        <f>IFERROR((AP23/AP$6*Mapping!$E$15+AQ23/AQ$6*Mapping!$E$16+AR23/AR$6*Mapping!$E$17+AS23/AS$6*Mapping!$E$18+AT23/AT$6*Mapping!$E$19+AU23/AU$6*Mapping!$E$20+AV23/AV$6*Mapping!$E$21+AW23/AW$6*Mapping!$E$22+AX23/AX$6*Mapping!$E$23)/SUM(Mapping!$E$15:$E$23),"")</f>
        <v/>
      </c>
      <c r="BG23" s="64">
        <f>IFERROR((AP23/AP$6*Mapping!$F$15+AQ23/AQ$6*Mapping!$F$16+AR23/AR$6*Mapping!$F$17+AS23/AS$6*Mapping!$F$18+AT23/AT$6*Mapping!$F$19+AU23/AU$6*Mapping!$F$20+AV23/AV$6*Mapping!$F$21+AW23/AW$6*Mapping!$F$22+AX23/AX$6*Mapping!$F$23)/SUM(Mapping!$F$15:$F$23),"")</f>
        <v/>
      </c>
      <c r="BH23" s="64">
        <f>IFERROR((AP23/AP$6*Mapping!$G$15+AQ23/AQ$6*Mapping!$G$16+AR23/AR$6*Mapping!$G$17+AS23/AS$6*Mapping!$G$18+AT23/AT$6*Mapping!$G$19+AU23/AU$6*Mapping!$G$20+AV23/AV$6*Mapping!$G$21+AW23/AW$6*Mapping!$G$22+AX23/AX$6*Mapping!$G$23)/SUM(Mapping!$G$15:$G$23),"")</f>
        <v/>
      </c>
      <c r="BI23" s="64">
        <f>IFERROR((AP23/AP$6*Mapping!$H$15+AQ23/AQ$6*Mapping!$H$16+AR23/AR$6*Mapping!$H$17+AS23/AS$6*Mapping!$H$18+AT23/AT$6*Mapping!$H$19+AU23/AU$6*Mapping!$H$20+AV23/AV$6*Mapping!$H$21+AW23/AW$6*Mapping!$H$22+AX23/AX$6*Mapping!$H$23)/SUM(Mapping!$H$15:$H$23),"")</f>
        <v/>
      </c>
      <c r="BJ23" s="64">
        <f>IFERROR((AP23/AP$6*Mapping!$I$15+AQ23/AQ$6*Mapping!$I$16+AR23/AR$6*Mapping!$I$17+AS23/AS$6*Mapping!$I$18+AT23/AT$6*Mapping!$I$19+AU23/AU$6*Mapping!$I$20+AV23/AV$6*Mapping!$I$21+AW23/AW$6*Mapping!$I$22+AX23/AX$6*Mapping!$I$23)/SUM(Mapping!$I$15:$I$23),"")</f>
        <v/>
      </c>
      <c r="BK23" s="64">
        <f>IFERROR((AP23/AP$6*Mapping!$J$15+AQ23/AQ$6*Mapping!$J$16+AR23/AR$6*Mapping!$J$17+AS23/AS$6*Mapping!$J$18+AT23/AT$6*Mapping!$J$19+AU23/AU$6*Mapping!$J$20+AV23/AV$6*Mapping!$J$21+AW23/AW$6*Mapping!$J$22+AX23/AX$6*Mapping!$J$23)/SUM(Mapping!$J$15:$J$23),"")</f>
        <v/>
      </c>
      <c r="BL23" s="64">
        <f>IFERROR((AP23/AP$6*Mapping!$K$15+AQ23/AQ$6*Mapping!$K$16+AR23/AR$6*Mapping!$K$17+AS23/AS$6*Mapping!$K$18+AT23/AT$6*Mapping!$K$19+AU23/AU$6*Mapping!$K$20+AV23/AV$6*Mapping!$K$21+AW23/AW$6*Mapping!$K$22+AX23/AX$6*Mapping!$K$23)/SUM(Mapping!$K$15:$K$23),"")</f>
        <v/>
      </c>
      <c r="BM23" s="64">
        <f>IFERROR((AP23/AP$6*Mapping!$L$15+AQ23/AQ$6*Mapping!$L$16+AR23/AR$6*Mapping!$L$17+AS23/AS$6*Mapping!$L$18+AT23/AT$6*Mapping!$L$19+AU23/AU$6*Mapping!$L$20+AV23/AV$6*Mapping!$L$21+AW23/AW$6*Mapping!$L$22+AX23/AX$6*Mapping!$L$23)/SUM(Mapping!$L$15:$L$23),"")</f>
        <v/>
      </c>
      <c r="BN23" s="64">
        <f>IFERROR((AP23/AP$6*Mapping!$M$15+AQ23/AQ$6*Mapping!$M$16+AR23/AR$6*Mapping!$M$17+AS23/AS$6*Mapping!$M$18+AT23/AT$6*Mapping!$M$19+AU23/AU$6*Mapping!$M$20+AV23/AV$6*Mapping!$M$21+AW23/AW$6*Mapping!$M$22+AX23/AX$6*Mapping!$M$23)/SUM(Mapping!$M$15:$M$23),"")</f>
        <v/>
      </c>
      <c r="BO23" s="64">
        <f>IFERROR((AP23/AP$6*Mapping!$N$15+AQ23/AQ$6*Mapping!$N$16+AR23/AR$6*Mapping!$N$17+AS23/AS$6*Mapping!$N$18+AT23/AT$6*Mapping!$N$19+AU23/AU$6*Mapping!$N$20+AV23/AV$6*Mapping!$N$21+AW23/AW$6*Mapping!$N$22+AX23/AX$6*Mapping!$N$23)/SUM(Mapping!$N$15:$N$23),"")</f>
        <v/>
      </c>
      <c r="BP23" s="64">
        <f>IFERROR((AP23/AP$6*Mapping!$O$15+AQ23/AQ$6*Mapping!$O$16+AR23/AR$6*Mapping!$O$17+AS23/AS$6*Mapping!$O$18+AT23/AT$6*Mapping!$O$19+AU23/AU$6*Mapping!$O$20+AV23/AV$6*Mapping!$O$21+AW23/AW$6*Mapping!$O$22+AX23/AX$6*Mapping!$O$23)/SUM(Mapping!$O$15:$O$23),"")</f>
        <v/>
      </c>
      <c r="BQ23" s="64">
        <f>IFERROR((AP23/AP$6*Mapping!$P$15+AQ23/AQ$6*Mapping!$P$16+AR23/AR$6*Mapping!$P$17+AS23/AS$6*Mapping!$P$18+AT23/AT$6*Mapping!$P$19+AU23/AU$6*Mapping!$P$20+AV23/AV$6*Mapping!$P$21+AW23/AW$6*Mapping!$P$22+AX23/AX$6*Mapping!$P$23)/SUM(Mapping!$P$15:$P$23),"")</f>
        <v/>
      </c>
      <c r="BR23" s="65">
        <f>IF(BA23="","",BA23+N(AS23)/10000)</f>
        <v/>
      </c>
    </row>
    <row r="24" ht="30" customHeight="1">
      <c r="A24" s="28" t="n">
        <v>18</v>
      </c>
      <c r="B24" s="29" t="inlineStr">
        <is>
          <t>3rd Sem - A</t>
        </is>
      </c>
      <c r="C24" s="29" t="n"/>
      <c r="D24" s="6" t="n"/>
      <c r="E24" s="6" t="n"/>
      <c r="F24" s="29" t="n"/>
      <c r="G24" s="29" t="n"/>
      <c r="H24" s="6" t="n"/>
      <c r="I24" s="29" t="n"/>
      <c r="J24" s="29" t="n"/>
      <c r="K24" s="29" t="n"/>
      <c r="L24" s="29" t="n"/>
      <c r="M24" s="29" t="n"/>
      <c r="N24" s="29" t="n"/>
      <c r="O24" s="29" t="n"/>
      <c r="P24" s="29" t="n"/>
      <c r="Q24" s="29" t="n"/>
      <c r="R24" s="29" t="n"/>
      <c r="S24" s="29" t="n"/>
      <c r="T24" s="29" t="n"/>
      <c r="U24" s="29" t="n"/>
      <c r="V24" s="29" t="n"/>
      <c r="W24" s="29" t="n"/>
      <c r="X24" s="29" t="n"/>
      <c r="Y24" s="29" t="n"/>
      <c r="Z24" s="29" t="n"/>
      <c r="AA24" s="29" t="n"/>
      <c r="AB24" s="29" t="n"/>
      <c r="AC24" s="29" t="n"/>
      <c r="AD24" s="29" t="n"/>
      <c r="AE24" s="29" t="n"/>
      <c r="AF24" s="29" t="n"/>
      <c r="AG24" s="29" t="n"/>
      <c r="AH24" s="29" t="n"/>
      <c r="AI24" s="29" t="n"/>
      <c r="AJ24" s="29" t="n"/>
      <c r="AK24" s="29" t="n"/>
      <c r="AL24" s="29" t="n"/>
      <c r="AM24" s="29" t="n"/>
      <c r="AN24" s="29" t="n"/>
      <c r="AO24" s="29" t="n"/>
      <c r="AP24" s="59">
        <f>IF(COUNT(I24,T24,AE24)=0,"",AVERAGE(I24,T24,AE24))</f>
        <v/>
      </c>
      <c r="AQ24" s="59">
        <f>IF(COUNT(J24,U24,AF24)=0,"",AVERAGE(J24,U24,AF24))</f>
        <v/>
      </c>
      <c r="AR24" s="59">
        <f>IF(COUNT(K24,V24,AG24)=0,"",AVERAGE(K24,V24,AG24))</f>
        <v/>
      </c>
      <c r="AS24" s="59">
        <f>IF(COUNT(L24,W24,AH24)=0,"",AVERAGE(L24,W24,AH24))</f>
        <v/>
      </c>
      <c r="AT24" s="59">
        <f>IF(COUNT(M24,X24,AI24)=0,"",AVERAGE(M24,X24,AI24))</f>
        <v/>
      </c>
      <c r="AU24" s="59">
        <f>IF(COUNT(N24,Y24,AJ24)=0,"",AVERAGE(N24,Y24,AJ24))</f>
        <v/>
      </c>
      <c r="AV24" s="59">
        <f>IF(COUNT(O24,Z24,AK24)=0,"",AVERAGE(O24,Z24,AK24))</f>
        <v/>
      </c>
      <c r="AW24" s="59">
        <f>IF(COUNT(P24,AA24,AL24)=0,"",AVERAGE(P24,AA24,AL24))</f>
        <v/>
      </c>
      <c r="AX24" s="59">
        <f>IF(COUNT(Q24,AB24,AM24)=0,"",AVERAGE(Q24,AB24,AM24))</f>
        <v/>
      </c>
      <c r="AY24" s="60">
        <f>IF(OR($F24="",COUNT(R24,AC24,AN24)=0),"",AVERAGE(R24,AC24,AN24))</f>
        <v/>
      </c>
      <c r="AZ24" s="60">
        <f>IF(OR($G24="",$G24=$F24,COUNT(S24,AD24,AO24)=0),"",AVERAGE(S24,AD24,AO24))</f>
        <v/>
      </c>
      <c r="BA24" s="61">
        <f>IF(COUNT(AP24:AX24)=0,"",SUM(AP24:AX24))</f>
        <v/>
      </c>
      <c r="BB24" s="62">
        <f>IF(BA24="","",BA24/BA$6)</f>
        <v/>
      </c>
      <c r="BC24" s="14">
        <f>IF(BR24="","",COUNTIF($BR$7:$BR$26,"&gt;"&amp;BR24)+COUNTIF($BR$7:BR24,BR24))</f>
        <v/>
      </c>
      <c r="BD24" s="63">
        <f>IF(BC24="","",IF(BC24&lt;=Mapping!$C$11,"Shortlisted","Not shortlisted"))</f>
        <v/>
      </c>
      <c r="BE24" s="64">
        <f>IFERROR((AP24/AP$6*Mapping!$D$15+AQ24/AQ$6*Mapping!$D$16+AR24/AR$6*Mapping!$D$17+AS24/AS$6*Mapping!$D$18+AT24/AT$6*Mapping!$D$19+AU24/AU$6*Mapping!$D$20+AV24/AV$6*Mapping!$D$21+AW24/AW$6*Mapping!$D$22+AX24/AX$6*Mapping!$D$23)/SUM(Mapping!$D$15:$D$23),"")</f>
        <v/>
      </c>
      <c r="BF24" s="64">
        <f>IFERROR((AP24/AP$6*Mapping!$E$15+AQ24/AQ$6*Mapping!$E$16+AR24/AR$6*Mapping!$E$17+AS24/AS$6*Mapping!$E$18+AT24/AT$6*Mapping!$E$19+AU24/AU$6*Mapping!$E$20+AV24/AV$6*Mapping!$E$21+AW24/AW$6*Mapping!$E$22+AX24/AX$6*Mapping!$E$23)/SUM(Mapping!$E$15:$E$23),"")</f>
        <v/>
      </c>
      <c r="BG24" s="64">
        <f>IFERROR((AP24/AP$6*Mapping!$F$15+AQ24/AQ$6*Mapping!$F$16+AR24/AR$6*Mapping!$F$17+AS24/AS$6*Mapping!$F$18+AT24/AT$6*Mapping!$F$19+AU24/AU$6*Mapping!$F$20+AV24/AV$6*Mapping!$F$21+AW24/AW$6*Mapping!$F$22+AX24/AX$6*Mapping!$F$23)/SUM(Mapping!$F$15:$F$23),"")</f>
        <v/>
      </c>
      <c r="BH24" s="64">
        <f>IFERROR((AP24/AP$6*Mapping!$G$15+AQ24/AQ$6*Mapping!$G$16+AR24/AR$6*Mapping!$G$17+AS24/AS$6*Mapping!$G$18+AT24/AT$6*Mapping!$G$19+AU24/AU$6*Mapping!$G$20+AV24/AV$6*Mapping!$G$21+AW24/AW$6*Mapping!$G$22+AX24/AX$6*Mapping!$G$23)/SUM(Mapping!$G$15:$G$23),"")</f>
        <v/>
      </c>
      <c r="BI24" s="64">
        <f>IFERROR((AP24/AP$6*Mapping!$H$15+AQ24/AQ$6*Mapping!$H$16+AR24/AR$6*Mapping!$H$17+AS24/AS$6*Mapping!$H$18+AT24/AT$6*Mapping!$H$19+AU24/AU$6*Mapping!$H$20+AV24/AV$6*Mapping!$H$21+AW24/AW$6*Mapping!$H$22+AX24/AX$6*Mapping!$H$23)/SUM(Mapping!$H$15:$H$23),"")</f>
        <v/>
      </c>
      <c r="BJ24" s="64">
        <f>IFERROR((AP24/AP$6*Mapping!$I$15+AQ24/AQ$6*Mapping!$I$16+AR24/AR$6*Mapping!$I$17+AS24/AS$6*Mapping!$I$18+AT24/AT$6*Mapping!$I$19+AU24/AU$6*Mapping!$I$20+AV24/AV$6*Mapping!$I$21+AW24/AW$6*Mapping!$I$22+AX24/AX$6*Mapping!$I$23)/SUM(Mapping!$I$15:$I$23),"")</f>
        <v/>
      </c>
      <c r="BK24" s="64">
        <f>IFERROR((AP24/AP$6*Mapping!$J$15+AQ24/AQ$6*Mapping!$J$16+AR24/AR$6*Mapping!$J$17+AS24/AS$6*Mapping!$J$18+AT24/AT$6*Mapping!$J$19+AU24/AU$6*Mapping!$J$20+AV24/AV$6*Mapping!$J$21+AW24/AW$6*Mapping!$J$22+AX24/AX$6*Mapping!$J$23)/SUM(Mapping!$J$15:$J$23),"")</f>
        <v/>
      </c>
      <c r="BL24" s="64">
        <f>IFERROR((AP24/AP$6*Mapping!$K$15+AQ24/AQ$6*Mapping!$K$16+AR24/AR$6*Mapping!$K$17+AS24/AS$6*Mapping!$K$18+AT24/AT$6*Mapping!$K$19+AU24/AU$6*Mapping!$K$20+AV24/AV$6*Mapping!$K$21+AW24/AW$6*Mapping!$K$22+AX24/AX$6*Mapping!$K$23)/SUM(Mapping!$K$15:$K$23),"")</f>
        <v/>
      </c>
      <c r="BM24" s="64">
        <f>IFERROR((AP24/AP$6*Mapping!$L$15+AQ24/AQ$6*Mapping!$L$16+AR24/AR$6*Mapping!$L$17+AS24/AS$6*Mapping!$L$18+AT24/AT$6*Mapping!$L$19+AU24/AU$6*Mapping!$L$20+AV24/AV$6*Mapping!$L$21+AW24/AW$6*Mapping!$L$22+AX24/AX$6*Mapping!$L$23)/SUM(Mapping!$L$15:$L$23),"")</f>
        <v/>
      </c>
      <c r="BN24" s="64">
        <f>IFERROR((AP24/AP$6*Mapping!$M$15+AQ24/AQ$6*Mapping!$M$16+AR24/AR$6*Mapping!$M$17+AS24/AS$6*Mapping!$M$18+AT24/AT$6*Mapping!$M$19+AU24/AU$6*Mapping!$M$20+AV24/AV$6*Mapping!$M$21+AW24/AW$6*Mapping!$M$22+AX24/AX$6*Mapping!$M$23)/SUM(Mapping!$M$15:$M$23),"")</f>
        <v/>
      </c>
      <c r="BO24" s="64">
        <f>IFERROR((AP24/AP$6*Mapping!$N$15+AQ24/AQ$6*Mapping!$N$16+AR24/AR$6*Mapping!$N$17+AS24/AS$6*Mapping!$N$18+AT24/AT$6*Mapping!$N$19+AU24/AU$6*Mapping!$N$20+AV24/AV$6*Mapping!$N$21+AW24/AW$6*Mapping!$N$22+AX24/AX$6*Mapping!$N$23)/SUM(Mapping!$N$15:$N$23),"")</f>
        <v/>
      </c>
      <c r="BP24" s="64">
        <f>IFERROR((AP24/AP$6*Mapping!$O$15+AQ24/AQ$6*Mapping!$O$16+AR24/AR$6*Mapping!$O$17+AS24/AS$6*Mapping!$O$18+AT24/AT$6*Mapping!$O$19+AU24/AU$6*Mapping!$O$20+AV24/AV$6*Mapping!$O$21+AW24/AW$6*Mapping!$O$22+AX24/AX$6*Mapping!$O$23)/SUM(Mapping!$O$15:$O$23),"")</f>
        <v/>
      </c>
      <c r="BQ24" s="64">
        <f>IFERROR((AP24/AP$6*Mapping!$P$15+AQ24/AQ$6*Mapping!$P$16+AR24/AR$6*Mapping!$P$17+AS24/AS$6*Mapping!$P$18+AT24/AT$6*Mapping!$P$19+AU24/AU$6*Mapping!$P$20+AV24/AV$6*Mapping!$P$21+AW24/AW$6*Mapping!$P$22+AX24/AX$6*Mapping!$P$23)/SUM(Mapping!$P$15:$P$23),"")</f>
        <v/>
      </c>
      <c r="BR24" s="65">
        <f>IF(BA24="","",BA24+N(AS24)/10000)</f>
        <v/>
      </c>
    </row>
    <row r="25" ht="30" customHeight="1">
      <c r="A25" s="28" t="n">
        <v>19</v>
      </c>
      <c r="B25" s="29" t="inlineStr">
        <is>
          <t>3rd Sem - A</t>
        </is>
      </c>
      <c r="C25" s="29" t="n"/>
      <c r="D25" s="6" t="n"/>
      <c r="E25" s="6" t="n"/>
      <c r="F25" s="29" t="n"/>
      <c r="G25" s="29" t="n"/>
      <c r="H25" s="6" t="n"/>
      <c r="I25" s="29" t="n"/>
      <c r="J25" s="29" t="n"/>
      <c r="K25" s="29" t="n"/>
      <c r="L25" s="29" t="n"/>
      <c r="M25" s="29" t="n"/>
      <c r="N25" s="29" t="n"/>
      <c r="O25" s="29" t="n"/>
      <c r="P25" s="29" t="n"/>
      <c r="Q25" s="29" t="n"/>
      <c r="R25" s="29" t="n"/>
      <c r="S25" s="29" t="n"/>
      <c r="T25" s="29" t="n"/>
      <c r="U25" s="29" t="n"/>
      <c r="V25" s="29" t="n"/>
      <c r="W25" s="29" t="n"/>
      <c r="X25" s="29" t="n"/>
      <c r="Y25" s="29" t="n"/>
      <c r="Z25" s="29" t="n"/>
      <c r="AA25" s="29" t="n"/>
      <c r="AB25" s="29" t="n"/>
      <c r="AC25" s="29" t="n"/>
      <c r="AD25" s="29" t="n"/>
      <c r="AE25" s="29" t="n"/>
      <c r="AF25" s="29" t="n"/>
      <c r="AG25" s="29" t="n"/>
      <c r="AH25" s="29" t="n"/>
      <c r="AI25" s="29" t="n"/>
      <c r="AJ25" s="29" t="n"/>
      <c r="AK25" s="29" t="n"/>
      <c r="AL25" s="29" t="n"/>
      <c r="AM25" s="29" t="n"/>
      <c r="AN25" s="29" t="n"/>
      <c r="AO25" s="29" t="n"/>
      <c r="AP25" s="59">
        <f>IF(COUNT(I25,T25,AE25)=0,"",AVERAGE(I25,T25,AE25))</f>
        <v/>
      </c>
      <c r="AQ25" s="59">
        <f>IF(COUNT(J25,U25,AF25)=0,"",AVERAGE(J25,U25,AF25))</f>
        <v/>
      </c>
      <c r="AR25" s="59">
        <f>IF(COUNT(K25,V25,AG25)=0,"",AVERAGE(K25,V25,AG25))</f>
        <v/>
      </c>
      <c r="AS25" s="59">
        <f>IF(COUNT(L25,W25,AH25)=0,"",AVERAGE(L25,W25,AH25))</f>
        <v/>
      </c>
      <c r="AT25" s="59">
        <f>IF(COUNT(M25,X25,AI25)=0,"",AVERAGE(M25,X25,AI25))</f>
        <v/>
      </c>
      <c r="AU25" s="59">
        <f>IF(COUNT(N25,Y25,AJ25)=0,"",AVERAGE(N25,Y25,AJ25))</f>
        <v/>
      </c>
      <c r="AV25" s="59">
        <f>IF(COUNT(O25,Z25,AK25)=0,"",AVERAGE(O25,Z25,AK25))</f>
        <v/>
      </c>
      <c r="AW25" s="59">
        <f>IF(COUNT(P25,AA25,AL25)=0,"",AVERAGE(P25,AA25,AL25))</f>
        <v/>
      </c>
      <c r="AX25" s="59">
        <f>IF(COUNT(Q25,AB25,AM25)=0,"",AVERAGE(Q25,AB25,AM25))</f>
        <v/>
      </c>
      <c r="AY25" s="60">
        <f>IF(OR($F25="",COUNT(R25,AC25,AN25)=0),"",AVERAGE(R25,AC25,AN25))</f>
        <v/>
      </c>
      <c r="AZ25" s="60">
        <f>IF(OR($G25="",$G25=$F25,COUNT(S25,AD25,AO25)=0),"",AVERAGE(S25,AD25,AO25))</f>
        <v/>
      </c>
      <c r="BA25" s="61">
        <f>IF(COUNT(AP25:AX25)=0,"",SUM(AP25:AX25))</f>
        <v/>
      </c>
      <c r="BB25" s="62">
        <f>IF(BA25="","",BA25/BA$6)</f>
        <v/>
      </c>
      <c r="BC25" s="14">
        <f>IF(BR25="","",COUNTIF($BR$7:$BR$26,"&gt;"&amp;BR25)+COUNTIF($BR$7:BR25,BR25))</f>
        <v/>
      </c>
      <c r="BD25" s="63">
        <f>IF(BC25="","",IF(BC25&lt;=Mapping!$C$11,"Shortlisted","Not shortlisted"))</f>
        <v/>
      </c>
      <c r="BE25" s="64">
        <f>IFERROR((AP25/AP$6*Mapping!$D$15+AQ25/AQ$6*Mapping!$D$16+AR25/AR$6*Mapping!$D$17+AS25/AS$6*Mapping!$D$18+AT25/AT$6*Mapping!$D$19+AU25/AU$6*Mapping!$D$20+AV25/AV$6*Mapping!$D$21+AW25/AW$6*Mapping!$D$22+AX25/AX$6*Mapping!$D$23)/SUM(Mapping!$D$15:$D$23),"")</f>
        <v/>
      </c>
      <c r="BF25" s="64">
        <f>IFERROR((AP25/AP$6*Mapping!$E$15+AQ25/AQ$6*Mapping!$E$16+AR25/AR$6*Mapping!$E$17+AS25/AS$6*Mapping!$E$18+AT25/AT$6*Mapping!$E$19+AU25/AU$6*Mapping!$E$20+AV25/AV$6*Mapping!$E$21+AW25/AW$6*Mapping!$E$22+AX25/AX$6*Mapping!$E$23)/SUM(Mapping!$E$15:$E$23),"")</f>
        <v/>
      </c>
      <c r="BG25" s="64">
        <f>IFERROR((AP25/AP$6*Mapping!$F$15+AQ25/AQ$6*Mapping!$F$16+AR25/AR$6*Mapping!$F$17+AS25/AS$6*Mapping!$F$18+AT25/AT$6*Mapping!$F$19+AU25/AU$6*Mapping!$F$20+AV25/AV$6*Mapping!$F$21+AW25/AW$6*Mapping!$F$22+AX25/AX$6*Mapping!$F$23)/SUM(Mapping!$F$15:$F$23),"")</f>
        <v/>
      </c>
      <c r="BH25" s="64">
        <f>IFERROR((AP25/AP$6*Mapping!$G$15+AQ25/AQ$6*Mapping!$G$16+AR25/AR$6*Mapping!$G$17+AS25/AS$6*Mapping!$G$18+AT25/AT$6*Mapping!$G$19+AU25/AU$6*Mapping!$G$20+AV25/AV$6*Mapping!$G$21+AW25/AW$6*Mapping!$G$22+AX25/AX$6*Mapping!$G$23)/SUM(Mapping!$G$15:$G$23),"")</f>
        <v/>
      </c>
      <c r="BI25" s="64">
        <f>IFERROR((AP25/AP$6*Mapping!$H$15+AQ25/AQ$6*Mapping!$H$16+AR25/AR$6*Mapping!$H$17+AS25/AS$6*Mapping!$H$18+AT25/AT$6*Mapping!$H$19+AU25/AU$6*Mapping!$H$20+AV25/AV$6*Mapping!$H$21+AW25/AW$6*Mapping!$H$22+AX25/AX$6*Mapping!$H$23)/SUM(Mapping!$H$15:$H$23),"")</f>
        <v/>
      </c>
      <c r="BJ25" s="64">
        <f>IFERROR((AP25/AP$6*Mapping!$I$15+AQ25/AQ$6*Mapping!$I$16+AR25/AR$6*Mapping!$I$17+AS25/AS$6*Mapping!$I$18+AT25/AT$6*Mapping!$I$19+AU25/AU$6*Mapping!$I$20+AV25/AV$6*Mapping!$I$21+AW25/AW$6*Mapping!$I$22+AX25/AX$6*Mapping!$I$23)/SUM(Mapping!$I$15:$I$23),"")</f>
        <v/>
      </c>
      <c r="BK25" s="64">
        <f>IFERROR((AP25/AP$6*Mapping!$J$15+AQ25/AQ$6*Mapping!$J$16+AR25/AR$6*Mapping!$J$17+AS25/AS$6*Mapping!$J$18+AT25/AT$6*Mapping!$J$19+AU25/AU$6*Mapping!$J$20+AV25/AV$6*Mapping!$J$21+AW25/AW$6*Mapping!$J$22+AX25/AX$6*Mapping!$J$23)/SUM(Mapping!$J$15:$J$23),"")</f>
        <v/>
      </c>
      <c r="BL25" s="64">
        <f>IFERROR((AP25/AP$6*Mapping!$K$15+AQ25/AQ$6*Mapping!$K$16+AR25/AR$6*Mapping!$K$17+AS25/AS$6*Mapping!$K$18+AT25/AT$6*Mapping!$K$19+AU25/AU$6*Mapping!$K$20+AV25/AV$6*Mapping!$K$21+AW25/AW$6*Mapping!$K$22+AX25/AX$6*Mapping!$K$23)/SUM(Mapping!$K$15:$K$23),"")</f>
        <v/>
      </c>
      <c r="BM25" s="64">
        <f>IFERROR((AP25/AP$6*Mapping!$L$15+AQ25/AQ$6*Mapping!$L$16+AR25/AR$6*Mapping!$L$17+AS25/AS$6*Mapping!$L$18+AT25/AT$6*Mapping!$L$19+AU25/AU$6*Mapping!$L$20+AV25/AV$6*Mapping!$L$21+AW25/AW$6*Mapping!$L$22+AX25/AX$6*Mapping!$L$23)/SUM(Mapping!$L$15:$L$23),"")</f>
        <v/>
      </c>
      <c r="BN25" s="64">
        <f>IFERROR((AP25/AP$6*Mapping!$M$15+AQ25/AQ$6*Mapping!$M$16+AR25/AR$6*Mapping!$M$17+AS25/AS$6*Mapping!$M$18+AT25/AT$6*Mapping!$M$19+AU25/AU$6*Mapping!$M$20+AV25/AV$6*Mapping!$M$21+AW25/AW$6*Mapping!$M$22+AX25/AX$6*Mapping!$M$23)/SUM(Mapping!$M$15:$M$23),"")</f>
        <v/>
      </c>
      <c r="BO25" s="64">
        <f>IFERROR((AP25/AP$6*Mapping!$N$15+AQ25/AQ$6*Mapping!$N$16+AR25/AR$6*Mapping!$N$17+AS25/AS$6*Mapping!$N$18+AT25/AT$6*Mapping!$N$19+AU25/AU$6*Mapping!$N$20+AV25/AV$6*Mapping!$N$21+AW25/AW$6*Mapping!$N$22+AX25/AX$6*Mapping!$N$23)/SUM(Mapping!$N$15:$N$23),"")</f>
        <v/>
      </c>
      <c r="BP25" s="64">
        <f>IFERROR((AP25/AP$6*Mapping!$O$15+AQ25/AQ$6*Mapping!$O$16+AR25/AR$6*Mapping!$O$17+AS25/AS$6*Mapping!$O$18+AT25/AT$6*Mapping!$O$19+AU25/AU$6*Mapping!$O$20+AV25/AV$6*Mapping!$O$21+AW25/AW$6*Mapping!$O$22+AX25/AX$6*Mapping!$O$23)/SUM(Mapping!$O$15:$O$23),"")</f>
        <v/>
      </c>
      <c r="BQ25" s="64">
        <f>IFERROR((AP25/AP$6*Mapping!$P$15+AQ25/AQ$6*Mapping!$P$16+AR25/AR$6*Mapping!$P$17+AS25/AS$6*Mapping!$P$18+AT25/AT$6*Mapping!$P$19+AU25/AU$6*Mapping!$P$20+AV25/AV$6*Mapping!$P$21+AW25/AW$6*Mapping!$P$22+AX25/AX$6*Mapping!$P$23)/SUM(Mapping!$P$15:$P$23),"")</f>
        <v/>
      </c>
      <c r="BR25" s="65">
        <f>IF(BA25="","",BA25+N(AS25)/10000)</f>
        <v/>
      </c>
    </row>
    <row r="26" ht="30" customHeight="1">
      <c r="A26" s="28" t="n">
        <v>20</v>
      </c>
      <c r="B26" s="29" t="inlineStr">
        <is>
          <t>3rd Sem - A</t>
        </is>
      </c>
      <c r="C26" s="29" t="n"/>
      <c r="D26" s="6" t="n"/>
      <c r="E26" s="6" t="n"/>
      <c r="F26" s="29" t="n"/>
      <c r="G26" s="29" t="n"/>
      <c r="H26" s="6" t="n"/>
      <c r="I26" s="29" t="n"/>
      <c r="J26" s="29" t="n"/>
      <c r="K26" s="29" t="n"/>
      <c r="L26" s="29" t="n"/>
      <c r="M26" s="29" t="n"/>
      <c r="N26" s="29" t="n"/>
      <c r="O26" s="29" t="n"/>
      <c r="P26" s="29" t="n"/>
      <c r="Q26" s="29" t="n"/>
      <c r="R26" s="29" t="n"/>
      <c r="S26" s="29" t="n"/>
      <c r="T26" s="29" t="n"/>
      <c r="U26" s="29" t="n"/>
      <c r="V26" s="29" t="n"/>
      <c r="W26" s="29" t="n"/>
      <c r="X26" s="29" t="n"/>
      <c r="Y26" s="29" t="n"/>
      <c r="Z26" s="29" t="n"/>
      <c r="AA26" s="29" t="n"/>
      <c r="AB26" s="29" t="n"/>
      <c r="AC26" s="29" t="n"/>
      <c r="AD26" s="29" t="n"/>
      <c r="AE26" s="29" t="n"/>
      <c r="AF26" s="29" t="n"/>
      <c r="AG26" s="29" t="n"/>
      <c r="AH26" s="29" t="n"/>
      <c r="AI26" s="29" t="n"/>
      <c r="AJ26" s="29" t="n"/>
      <c r="AK26" s="29" t="n"/>
      <c r="AL26" s="29" t="n"/>
      <c r="AM26" s="29" t="n"/>
      <c r="AN26" s="29" t="n"/>
      <c r="AO26" s="29" t="n"/>
      <c r="AP26" s="59">
        <f>IF(COUNT(I26,T26,AE26)=0,"",AVERAGE(I26,T26,AE26))</f>
        <v/>
      </c>
      <c r="AQ26" s="59">
        <f>IF(COUNT(J26,U26,AF26)=0,"",AVERAGE(J26,U26,AF26))</f>
        <v/>
      </c>
      <c r="AR26" s="59">
        <f>IF(COUNT(K26,V26,AG26)=0,"",AVERAGE(K26,V26,AG26))</f>
        <v/>
      </c>
      <c r="AS26" s="59">
        <f>IF(COUNT(L26,W26,AH26)=0,"",AVERAGE(L26,W26,AH26))</f>
        <v/>
      </c>
      <c r="AT26" s="59">
        <f>IF(COUNT(M26,X26,AI26)=0,"",AVERAGE(M26,X26,AI26))</f>
        <v/>
      </c>
      <c r="AU26" s="59">
        <f>IF(COUNT(N26,Y26,AJ26)=0,"",AVERAGE(N26,Y26,AJ26))</f>
        <v/>
      </c>
      <c r="AV26" s="59">
        <f>IF(COUNT(O26,Z26,AK26)=0,"",AVERAGE(O26,Z26,AK26))</f>
        <v/>
      </c>
      <c r="AW26" s="59">
        <f>IF(COUNT(P26,AA26,AL26)=0,"",AVERAGE(P26,AA26,AL26))</f>
        <v/>
      </c>
      <c r="AX26" s="59">
        <f>IF(COUNT(Q26,AB26,AM26)=0,"",AVERAGE(Q26,AB26,AM26))</f>
        <v/>
      </c>
      <c r="AY26" s="60">
        <f>IF(OR($F26="",COUNT(R26,AC26,AN26)=0),"",AVERAGE(R26,AC26,AN26))</f>
        <v/>
      </c>
      <c r="AZ26" s="60">
        <f>IF(OR($G26="",$G26=$F26,COUNT(S26,AD26,AO26)=0),"",AVERAGE(S26,AD26,AO26))</f>
        <v/>
      </c>
      <c r="BA26" s="61">
        <f>IF(COUNT(AP26:AX26)=0,"",SUM(AP26:AX26))</f>
        <v/>
      </c>
      <c r="BB26" s="62">
        <f>IF(BA26="","",BA26/BA$6)</f>
        <v/>
      </c>
      <c r="BC26" s="14">
        <f>IF(BR26="","",COUNTIF($BR$7:$BR$26,"&gt;"&amp;BR26)+COUNTIF($BR$7:BR26,BR26))</f>
        <v/>
      </c>
      <c r="BD26" s="63">
        <f>IF(BC26="","",IF(BC26&lt;=Mapping!$C$11,"Shortlisted","Not shortlisted"))</f>
        <v/>
      </c>
      <c r="BE26" s="64">
        <f>IFERROR((AP26/AP$6*Mapping!$D$15+AQ26/AQ$6*Mapping!$D$16+AR26/AR$6*Mapping!$D$17+AS26/AS$6*Mapping!$D$18+AT26/AT$6*Mapping!$D$19+AU26/AU$6*Mapping!$D$20+AV26/AV$6*Mapping!$D$21+AW26/AW$6*Mapping!$D$22+AX26/AX$6*Mapping!$D$23)/SUM(Mapping!$D$15:$D$23),"")</f>
        <v/>
      </c>
      <c r="BF26" s="64">
        <f>IFERROR((AP26/AP$6*Mapping!$E$15+AQ26/AQ$6*Mapping!$E$16+AR26/AR$6*Mapping!$E$17+AS26/AS$6*Mapping!$E$18+AT26/AT$6*Mapping!$E$19+AU26/AU$6*Mapping!$E$20+AV26/AV$6*Mapping!$E$21+AW26/AW$6*Mapping!$E$22+AX26/AX$6*Mapping!$E$23)/SUM(Mapping!$E$15:$E$23),"")</f>
        <v/>
      </c>
      <c r="BG26" s="64">
        <f>IFERROR((AP26/AP$6*Mapping!$F$15+AQ26/AQ$6*Mapping!$F$16+AR26/AR$6*Mapping!$F$17+AS26/AS$6*Mapping!$F$18+AT26/AT$6*Mapping!$F$19+AU26/AU$6*Mapping!$F$20+AV26/AV$6*Mapping!$F$21+AW26/AW$6*Mapping!$F$22+AX26/AX$6*Mapping!$F$23)/SUM(Mapping!$F$15:$F$23),"")</f>
        <v/>
      </c>
      <c r="BH26" s="64">
        <f>IFERROR((AP26/AP$6*Mapping!$G$15+AQ26/AQ$6*Mapping!$G$16+AR26/AR$6*Mapping!$G$17+AS26/AS$6*Mapping!$G$18+AT26/AT$6*Mapping!$G$19+AU26/AU$6*Mapping!$G$20+AV26/AV$6*Mapping!$G$21+AW26/AW$6*Mapping!$G$22+AX26/AX$6*Mapping!$G$23)/SUM(Mapping!$G$15:$G$23),"")</f>
        <v/>
      </c>
      <c r="BI26" s="64">
        <f>IFERROR((AP26/AP$6*Mapping!$H$15+AQ26/AQ$6*Mapping!$H$16+AR26/AR$6*Mapping!$H$17+AS26/AS$6*Mapping!$H$18+AT26/AT$6*Mapping!$H$19+AU26/AU$6*Mapping!$H$20+AV26/AV$6*Mapping!$H$21+AW26/AW$6*Mapping!$H$22+AX26/AX$6*Mapping!$H$23)/SUM(Mapping!$H$15:$H$23),"")</f>
        <v/>
      </c>
      <c r="BJ26" s="64">
        <f>IFERROR((AP26/AP$6*Mapping!$I$15+AQ26/AQ$6*Mapping!$I$16+AR26/AR$6*Mapping!$I$17+AS26/AS$6*Mapping!$I$18+AT26/AT$6*Mapping!$I$19+AU26/AU$6*Mapping!$I$20+AV26/AV$6*Mapping!$I$21+AW26/AW$6*Mapping!$I$22+AX26/AX$6*Mapping!$I$23)/SUM(Mapping!$I$15:$I$23),"")</f>
        <v/>
      </c>
      <c r="BK26" s="64">
        <f>IFERROR((AP26/AP$6*Mapping!$J$15+AQ26/AQ$6*Mapping!$J$16+AR26/AR$6*Mapping!$J$17+AS26/AS$6*Mapping!$J$18+AT26/AT$6*Mapping!$J$19+AU26/AU$6*Mapping!$J$20+AV26/AV$6*Mapping!$J$21+AW26/AW$6*Mapping!$J$22+AX26/AX$6*Mapping!$J$23)/SUM(Mapping!$J$15:$J$23),"")</f>
        <v/>
      </c>
      <c r="BL26" s="64">
        <f>IFERROR((AP26/AP$6*Mapping!$K$15+AQ26/AQ$6*Mapping!$K$16+AR26/AR$6*Mapping!$K$17+AS26/AS$6*Mapping!$K$18+AT26/AT$6*Mapping!$K$19+AU26/AU$6*Mapping!$K$20+AV26/AV$6*Mapping!$K$21+AW26/AW$6*Mapping!$K$22+AX26/AX$6*Mapping!$K$23)/SUM(Mapping!$K$15:$K$23),"")</f>
        <v/>
      </c>
      <c r="BM26" s="64">
        <f>IFERROR((AP26/AP$6*Mapping!$L$15+AQ26/AQ$6*Mapping!$L$16+AR26/AR$6*Mapping!$L$17+AS26/AS$6*Mapping!$L$18+AT26/AT$6*Mapping!$L$19+AU26/AU$6*Mapping!$L$20+AV26/AV$6*Mapping!$L$21+AW26/AW$6*Mapping!$L$22+AX26/AX$6*Mapping!$L$23)/SUM(Mapping!$L$15:$L$23),"")</f>
        <v/>
      </c>
      <c r="BN26" s="64">
        <f>IFERROR((AP26/AP$6*Mapping!$M$15+AQ26/AQ$6*Mapping!$M$16+AR26/AR$6*Mapping!$M$17+AS26/AS$6*Mapping!$M$18+AT26/AT$6*Mapping!$M$19+AU26/AU$6*Mapping!$M$20+AV26/AV$6*Mapping!$M$21+AW26/AW$6*Mapping!$M$22+AX26/AX$6*Mapping!$M$23)/SUM(Mapping!$M$15:$M$23),"")</f>
        <v/>
      </c>
      <c r="BO26" s="64">
        <f>IFERROR((AP26/AP$6*Mapping!$N$15+AQ26/AQ$6*Mapping!$N$16+AR26/AR$6*Mapping!$N$17+AS26/AS$6*Mapping!$N$18+AT26/AT$6*Mapping!$N$19+AU26/AU$6*Mapping!$N$20+AV26/AV$6*Mapping!$N$21+AW26/AW$6*Mapping!$N$22+AX26/AX$6*Mapping!$N$23)/SUM(Mapping!$N$15:$N$23),"")</f>
        <v/>
      </c>
      <c r="BP26" s="64">
        <f>IFERROR((AP26/AP$6*Mapping!$O$15+AQ26/AQ$6*Mapping!$O$16+AR26/AR$6*Mapping!$O$17+AS26/AS$6*Mapping!$O$18+AT26/AT$6*Mapping!$O$19+AU26/AU$6*Mapping!$O$20+AV26/AV$6*Mapping!$O$21+AW26/AW$6*Mapping!$O$22+AX26/AX$6*Mapping!$O$23)/SUM(Mapping!$O$15:$O$23),"")</f>
        <v/>
      </c>
      <c r="BQ26" s="64">
        <f>IFERROR((AP26/AP$6*Mapping!$P$15+AQ26/AQ$6*Mapping!$P$16+AR26/AR$6*Mapping!$P$17+AS26/AS$6*Mapping!$P$18+AT26/AT$6*Mapping!$P$19+AU26/AU$6*Mapping!$P$20+AV26/AV$6*Mapping!$P$21+AW26/AW$6*Mapping!$P$22+AX26/AX$6*Mapping!$P$23)/SUM(Mapping!$P$15:$P$23),"")</f>
        <v/>
      </c>
      <c r="BR26" s="65">
        <f>IF(BA26="","",BA26+N(AS26)/10000)</f>
        <v/>
      </c>
    </row>
    <row r="28">
      <c r="D28" s="13" t="inlineStr">
        <is>
          <t>Average score (marks)</t>
        </is>
      </c>
      <c r="AP28" s="59">
        <f>IFERROR(AVERAGE(AP$7:AP$26),"")</f>
        <v/>
      </c>
      <c r="AQ28" s="59">
        <f>IFERROR(AVERAGE(AQ$7:AQ$26),"")</f>
        <v/>
      </c>
      <c r="AR28" s="59">
        <f>IFERROR(AVERAGE(AR$7:AR$26),"")</f>
        <v/>
      </c>
      <c r="AS28" s="59">
        <f>IFERROR(AVERAGE(AS$7:AS$26),"")</f>
        <v/>
      </c>
      <c r="AT28" s="59">
        <f>IFERROR(AVERAGE(AT$7:AT$26),"")</f>
        <v/>
      </c>
      <c r="AU28" s="59">
        <f>IFERROR(AVERAGE(AU$7:AU$26),"")</f>
        <v/>
      </c>
      <c r="AV28" s="59">
        <f>IFERROR(AVERAGE(AV$7:AV$26),"")</f>
        <v/>
      </c>
      <c r="AW28" s="59">
        <f>IFERROR(AVERAGE(AW$7:AW$26),"")</f>
        <v/>
      </c>
      <c r="AX28" s="59">
        <f>IFERROR(AVERAGE(AX$7:AX$26),"")</f>
        <v/>
      </c>
      <c r="AY28" s="60">
        <f>IFERROR(AVERAGE(AY$7:AY$26),"")</f>
        <v/>
      </c>
      <c r="AZ28" s="60">
        <f>IFERROR(AVERAGE(AZ$7:AZ$26),"")</f>
        <v/>
      </c>
      <c r="BA28" s="61">
        <f>IFERROR(AVERAGE(BA$7:BA$26),"")</f>
        <v/>
      </c>
    </row>
    <row r="29">
      <c r="D29" s="13" t="inlineStr">
        <is>
          <t>Average score (% of max)</t>
        </is>
      </c>
      <c r="AP29" s="66">
        <f>IFERROR(AP28/AP$6,"")</f>
        <v/>
      </c>
      <c r="AQ29" s="66">
        <f>IFERROR(AQ28/AQ$6,"")</f>
        <v/>
      </c>
      <c r="AR29" s="66">
        <f>IFERROR(AR28/AR$6,"")</f>
        <v/>
      </c>
      <c r="AS29" s="66">
        <f>IFERROR(AS28/AS$6,"")</f>
        <v/>
      </c>
      <c r="AT29" s="66">
        <f>IFERROR(AT28/AT$6,"")</f>
        <v/>
      </c>
      <c r="AU29" s="66">
        <f>IFERROR(AU28/AU$6,"")</f>
        <v/>
      </c>
      <c r="AV29" s="66">
        <f>IFERROR(AV28/AV$6,"")</f>
        <v/>
      </c>
      <c r="AW29" s="66">
        <f>IFERROR(AW28/AW$6,"")</f>
        <v/>
      </c>
      <c r="AX29" s="66">
        <f>IFERROR(AX28/AX$6,"")</f>
        <v/>
      </c>
      <c r="BA29" s="15">
        <f>IFERROR(BA28/BA$6,"")</f>
        <v/>
      </c>
    </row>
    <row r="30">
      <c r="D30" s="13" t="inlineStr">
        <is>
          <t>Average attainment (%)</t>
        </is>
      </c>
      <c r="BE30" s="67">
        <f>IFERROR(AVERAGE(BE$7:BE$26),"")</f>
        <v/>
      </c>
      <c r="BF30" s="67">
        <f>IFERROR(AVERAGE(BF$7:BF$26),"")</f>
        <v/>
      </c>
      <c r="BG30" s="67">
        <f>IFERROR(AVERAGE(BG$7:BG$26),"")</f>
        <v/>
      </c>
      <c r="BH30" s="67">
        <f>IFERROR(AVERAGE(BH$7:BH$26),"")</f>
        <v/>
      </c>
      <c r="BI30" s="67">
        <f>IFERROR(AVERAGE(BI$7:BI$26),"")</f>
        <v/>
      </c>
      <c r="BJ30" s="67">
        <f>IFERROR(AVERAGE(BJ$7:BJ$26),"")</f>
        <v/>
      </c>
      <c r="BK30" s="67">
        <f>IFERROR(AVERAGE(BK$7:BK$26),"")</f>
        <v/>
      </c>
      <c r="BL30" s="67">
        <f>IFERROR(AVERAGE(BL$7:BL$26),"")</f>
        <v/>
      </c>
      <c r="BM30" s="67">
        <f>IFERROR(AVERAGE(BM$7:BM$26),"")</f>
        <v/>
      </c>
      <c r="BN30" s="67">
        <f>IFERROR(AVERAGE(BN$7:BN$26),"")</f>
        <v/>
      </c>
      <c r="BO30" s="67">
        <f>IFERROR(AVERAGE(BO$7:BO$26),"")</f>
        <v/>
      </c>
      <c r="BP30" s="67">
        <f>IFERROR(AVERAGE(BP$7:BP$26),"")</f>
        <v/>
      </c>
      <c r="BQ30" s="67">
        <f>IFERROR(AVERAGE(BQ$7:BQ$26),"")</f>
        <v/>
      </c>
    </row>
    <row r="31">
      <c r="D31" s="13" t="inlineStr">
        <is>
          <t>% of teams at/above target</t>
        </is>
      </c>
      <c r="BE31" s="67">
        <f>IFERROR(COUNTIF(BE$7:BE$26,"&gt;="&amp;Mapping!$C$7)/COUNT(BE$7:BE$26),"")</f>
        <v/>
      </c>
      <c r="BF31" s="67">
        <f>IFERROR(COUNTIF(BF$7:BF$26,"&gt;="&amp;Mapping!$C$7)/COUNT(BF$7:BF$26),"")</f>
        <v/>
      </c>
      <c r="BG31" s="67">
        <f>IFERROR(COUNTIF(BG$7:BG$26,"&gt;="&amp;Mapping!$C$7)/COUNT(BG$7:BG$26),"")</f>
        <v/>
      </c>
      <c r="BH31" s="67">
        <f>IFERROR(COUNTIF(BH$7:BH$26,"&gt;="&amp;Mapping!$C$7)/COUNT(BH$7:BH$26),"")</f>
        <v/>
      </c>
      <c r="BI31" s="67">
        <f>IFERROR(COUNTIF(BI$7:BI$26,"&gt;="&amp;Mapping!$C$7)/COUNT(BI$7:BI$26),"")</f>
        <v/>
      </c>
      <c r="BJ31" s="67">
        <f>IFERROR(COUNTIF(BJ$7:BJ$26,"&gt;="&amp;Mapping!$C$7)/COUNT(BJ$7:BJ$26),"")</f>
        <v/>
      </c>
      <c r="BK31" s="67">
        <f>IFERROR(COUNTIF(BK$7:BK$26,"&gt;="&amp;Mapping!$C$7)/COUNT(BK$7:BK$26),"")</f>
        <v/>
      </c>
      <c r="BL31" s="67">
        <f>IFERROR(COUNTIF(BL$7:BL$26,"&gt;="&amp;Mapping!$C$7)/COUNT(BL$7:BL$26),"")</f>
        <v/>
      </c>
      <c r="BM31" s="67">
        <f>IFERROR(COUNTIF(BM$7:BM$26,"&gt;="&amp;Mapping!$C$7)/COUNT(BM$7:BM$26),"")</f>
        <v/>
      </c>
      <c r="BN31" s="67">
        <f>IFERROR(COUNTIF(BN$7:BN$26,"&gt;="&amp;Mapping!$C$7)/COUNT(BN$7:BN$26),"")</f>
        <v/>
      </c>
      <c r="BO31" s="67">
        <f>IFERROR(COUNTIF(BO$7:BO$26,"&gt;="&amp;Mapping!$C$7)/COUNT(BO$7:BO$26),"")</f>
        <v/>
      </c>
      <c r="BP31" s="67">
        <f>IFERROR(COUNTIF(BP$7:BP$26,"&gt;="&amp;Mapping!$C$7)/COUNT(BP$7:BP$26),"")</f>
        <v/>
      </c>
      <c r="BQ31" s="67">
        <f>IFERROR(COUNTIF(BQ$7:BQ$26,"&gt;="&amp;Mapping!$C$7)/COUNT(BQ$7:BQ$26),"")</f>
        <v/>
      </c>
    </row>
    <row r="32">
      <c r="D32" s="13" t="inlineStr">
        <is>
          <t>Attainment level (0–3)</t>
        </is>
      </c>
      <c r="BE32" s="68">
        <f>IF(BE31="","",IF(BE31&gt;=Mapping!$C$8,3,IF(BE31&gt;=Mapping!$C$9,2,IF(BE31&gt;=Mapping!$C$10,1,0))))</f>
        <v/>
      </c>
      <c r="BF32" s="68">
        <f>IF(BF31="","",IF(BF31&gt;=Mapping!$C$8,3,IF(BF31&gt;=Mapping!$C$9,2,IF(BF31&gt;=Mapping!$C$10,1,0))))</f>
        <v/>
      </c>
      <c r="BG32" s="68">
        <f>IF(BG31="","",IF(BG31&gt;=Mapping!$C$8,3,IF(BG31&gt;=Mapping!$C$9,2,IF(BG31&gt;=Mapping!$C$10,1,0))))</f>
        <v/>
      </c>
      <c r="BH32" s="68">
        <f>IF(BH31="","",IF(BH31&gt;=Mapping!$C$8,3,IF(BH31&gt;=Mapping!$C$9,2,IF(BH31&gt;=Mapping!$C$10,1,0))))</f>
        <v/>
      </c>
      <c r="BI32" s="68">
        <f>IF(BI31="","",IF(BI31&gt;=Mapping!$C$8,3,IF(BI31&gt;=Mapping!$C$9,2,IF(BI31&gt;=Mapping!$C$10,1,0))))</f>
        <v/>
      </c>
      <c r="BJ32" s="68">
        <f>IF(BJ31="","",IF(BJ31&gt;=Mapping!$C$8,3,IF(BJ31&gt;=Mapping!$C$9,2,IF(BJ31&gt;=Mapping!$C$10,1,0))))</f>
        <v/>
      </c>
      <c r="BK32" s="68">
        <f>IF(BK31="","",IF(BK31&gt;=Mapping!$C$8,3,IF(BK31&gt;=Mapping!$C$9,2,IF(BK31&gt;=Mapping!$C$10,1,0))))</f>
        <v/>
      </c>
      <c r="BL32" s="68">
        <f>IF(BL31="","",IF(BL31&gt;=Mapping!$C$8,3,IF(BL31&gt;=Mapping!$C$9,2,IF(BL31&gt;=Mapping!$C$10,1,0))))</f>
        <v/>
      </c>
      <c r="BM32" s="68">
        <f>IF(BM31="","",IF(BM31&gt;=Mapping!$C$8,3,IF(BM31&gt;=Mapping!$C$9,2,IF(BM31&gt;=Mapping!$C$10,1,0))))</f>
        <v/>
      </c>
      <c r="BN32" s="68">
        <f>IF(BN31="","",IF(BN31&gt;=Mapping!$C$8,3,IF(BN31&gt;=Mapping!$C$9,2,IF(BN31&gt;=Mapping!$C$10,1,0))))</f>
        <v/>
      </c>
      <c r="BO32" s="68">
        <f>IF(BO31="","",IF(BO31&gt;=Mapping!$C$8,3,IF(BO31&gt;=Mapping!$C$9,2,IF(BO31&gt;=Mapping!$C$10,1,0))))</f>
        <v/>
      </c>
      <c r="BP32" s="68">
        <f>IF(BP31="","",IF(BP31&gt;=Mapping!$C$8,3,IF(BP31&gt;=Mapping!$C$9,2,IF(BP31&gt;=Mapping!$C$10,1,0))))</f>
        <v/>
      </c>
      <c r="BQ32" s="68">
        <f>IF(BQ31="","",IF(BQ31&gt;=Mapping!$C$8,3,IF(BQ31&gt;=Mapping!$C$9,2,IF(BQ31&gt;=Mapping!$C$10,1,0))))</f>
        <v/>
      </c>
    </row>
    <row r="33">
      <c r="D33" s="13" t="inlineStr">
        <is>
          <t>Teams evaluated</t>
        </is>
      </c>
      <c r="E33" s="20">
        <f>COUNT(BA$7:BA$26)</f>
        <v/>
      </c>
    </row>
    <row r="34">
      <c r="D34" s="69" t="inlineStr">
        <is>
          <t>SDG attainment: average contribution strength (0–3)</t>
        </is>
      </c>
      <c r="E34" s="60">
        <f>IFERROR((SUM(AY$7:AY$26)+SUM(AZ$7:AZ$26))/(COUNT(AY$7:AY$26)+COUNT(AZ$7:AZ$26)),"")</f>
        <v/>
      </c>
    </row>
    <row r="35">
      <c r="D35" s="69" t="inlineStr">
        <is>
          <t>SDG: % of rated team–SDG pairs at/above target strength</t>
        </is>
      </c>
      <c r="E35" s="70">
        <f>IFERROR((COUNTIF(AY$7:AY$26,"&gt;="&amp;Mapping!$C$12)+COUNTIF(AZ$7:AZ$26,"&gt;="&amp;Mapping!$C$12))/(COUNT(AY$7:AY$26)+COUNT(AZ$7:AZ$26)),"")</f>
        <v/>
      </c>
    </row>
    <row r="36">
      <c r="D36" s="69" t="inlineStr">
        <is>
          <t>SDG: team–SDG pairs rated</t>
        </is>
      </c>
      <c r="E36" s="71">
        <f>COUNT(AY$7:AY$26)+COUNT(AZ$7:AZ$26)</f>
        <v/>
      </c>
    </row>
    <row r="37">
      <c r="D37" s="69" t="inlineStr">
        <is>
          <t>SDG: team–SDG pairs claimed</t>
        </is>
      </c>
      <c r="E37" s="71">
        <f>COUNTIF($F$7:$F$26,"?*")+SUMPRODUCT(--($G$7:$G$26&lt;&gt;""),--($G$7:$G$26&lt;&gt;$F$7:$F$26))</f>
        <v/>
      </c>
    </row>
    <row r="39">
      <c r="D39" s="16" t="inlineStr">
        <is>
          <t>SDG goal-wise attainment (from contribution-strength ratings)</t>
        </is>
      </c>
    </row>
    <row r="40" ht="45" customHeight="1">
      <c r="D40" s="17" t="inlineStr">
        <is>
          <t>Sustainable Development Goal</t>
        </is>
      </c>
      <c r="E40" s="17" t="inlineStr">
        <is>
          <t>Solutions (teams claiming the goal)</t>
        </is>
      </c>
      <c r="F40" s="17" t="inlineStr">
        <is>
          <t>Solutions rated</t>
        </is>
      </c>
      <c r="G40" s="17" t="inlineStr">
        <is>
          <t>Avg contribution strength (0–3)</t>
        </is>
      </c>
      <c r="H40" s="17" t="inlineStr">
        <is>
          <t>% rated at/above target strength</t>
        </is>
      </c>
    </row>
    <row r="41">
      <c r="D41" s="5">
        <f>'SDG List'!A2</f>
        <v/>
      </c>
      <c r="E41" s="11">
        <f>COUNTIF($F$7:$F$26,$D41)+COUNTIF($G$7:$G$26,$D41)-COUNTIFS($F$7:$F$26,$D41,$G$7:$G$26,$D41)</f>
        <v/>
      </c>
      <c r="F41" s="11">
        <f>COUNTIFS($F$7:$F$26,$D41,AY$7:AY$26,"&gt;=0")+COUNTIFS($G$7:$G$26,$D41,AZ$7:AZ$26,"&gt;=0")</f>
        <v/>
      </c>
      <c r="G41" s="18">
        <f>IFERROR((SUMIF($F$7:$F$26,$D41,AY$7:AY$26)+SUMIF($G$7:$G$26,$D41,AZ$7:AZ$26))/F41,"")</f>
        <v/>
      </c>
      <c r="H41" s="12">
        <f>IFERROR((COUNTIFS($F$7:$F$26,$D41,AY$7:AY$26,"&gt;="&amp;Mapping!$C$12)+COUNTIFS($G$7:$G$26,$D41,AZ$7:AZ$26,"&gt;="&amp;Mapping!$C$12))/F41,"")</f>
        <v/>
      </c>
    </row>
    <row r="42">
      <c r="D42" s="5">
        <f>'SDG List'!A3</f>
        <v/>
      </c>
      <c r="E42" s="11">
        <f>COUNTIF($F$7:$F$26,$D42)+COUNTIF($G$7:$G$26,$D42)-COUNTIFS($F$7:$F$26,$D42,$G$7:$G$26,$D42)</f>
        <v/>
      </c>
      <c r="F42" s="11">
        <f>COUNTIFS($F$7:$F$26,$D42,AY$7:AY$26,"&gt;=0")+COUNTIFS($G$7:$G$26,$D42,AZ$7:AZ$26,"&gt;=0")</f>
        <v/>
      </c>
      <c r="G42" s="18">
        <f>IFERROR((SUMIF($F$7:$F$26,$D42,AY$7:AY$26)+SUMIF($G$7:$G$26,$D42,AZ$7:AZ$26))/F42,"")</f>
        <v/>
      </c>
      <c r="H42" s="12">
        <f>IFERROR((COUNTIFS($F$7:$F$26,$D42,AY$7:AY$26,"&gt;="&amp;Mapping!$C$12)+COUNTIFS($G$7:$G$26,$D42,AZ$7:AZ$26,"&gt;="&amp;Mapping!$C$12))/F42,"")</f>
        <v/>
      </c>
    </row>
    <row r="43">
      <c r="D43" s="5">
        <f>'SDG List'!A4</f>
        <v/>
      </c>
      <c r="E43" s="11">
        <f>COUNTIF($F$7:$F$26,$D43)+COUNTIF($G$7:$G$26,$D43)-COUNTIFS($F$7:$F$26,$D43,$G$7:$G$26,$D43)</f>
        <v/>
      </c>
      <c r="F43" s="11">
        <f>COUNTIFS($F$7:$F$26,$D43,AY$7:AY$26,"&gt;=0")+COUNTIFS($G$7:$G$26,$D43,AZ$7:AZ$26,"&gt;=0")</f>
        <v/>
      </c>
      <c r="G43" s="18">
        <f>IFERROR((SUMIF($F$7:$F$26,$D43,AY$7:AY$26)+SUMIF($G$7:$G$26,$D43,AZ$7:AZ$26))/F43,"")</f>
        <v/>
      </c>
      <c r="H43" s="12">
        <f>IFERROR((COUNTIFS($F$7:$F$26,$D43,AY$7:AY$26,"&gt;="&amp;Mapping!$C$12)+COUNTIFS($G$7:$G$26,$D43,AZ$7:AZ$26,"&gt;="&amp;Mapping!$C$12))/F43,"")</f>
        <v/>
      </c>
    </row>
    <row r="44">
      <c r="D44" s="5">
        <f>'SDG List'!A5</f>
        <v/>
      </c>
      <c r="E44" s="11">
        <f>COUNTIF($F$7:$F$26,$D44)+COUNTIF($G$7:$G$26,$D44)-COUNTIFS($F$7:$F$26,$D44,$G$7:$G$26,$D44)</f>
        <v/>
      </c>
      <c r="F44" s="11">
        <f>COUNTIFS($F$7:$F$26,$D44,AY$7:AY$26,"&gt;=0")+COUNTIFS($G$7:$G$26,$D44,AZ$7:AZ$26,"&gt;=0")</f>
        <v/>
      </c>
      <c r="G44" s="18">
        <f>IFERROR((SUMIF($F$7:$F$26,$D44,AY$7:AY$26)+SUMIF($G$7:$G$26,$D44,AZ$7:AZ$26))/F44,"")</f>
        <v/>
      </c>
      <c r="H44" s="12">
        <f>IFERROR((COUNTIFS($F$7:$F$26,$D44,AY$7:AY$26,"&gt;="&amp;Mapping!$C$12)+COUNTIFS($G$7:$G$26,$D44,AZ$7:AZ$26,"&gt;="&amp;Mapping!$C$12))/F44,"")</f>
        <v/>
      </c>
    </row>
    <row r="45">
      <c r="D45" s="5">
        <f>'SDG List'!A6</f>
        <v/>
      </c>
      <c r="E45" s="11">
        <f>COUNTIF($F$7:$F$26,$D45)+COUNTIF($G$7:$G$26,$D45)-COUNTIFS($F$7:$F$26,$D45,$G$7:$G$26,$D45)</f>
        <v/>
      </c>
      <c r="F45" s="11">
        <f>COUNTIFS($F$7:$F$26,$D45,AY$7:AY$26,"&gt;=0")+COUNTIFS($G$7:$G$26,$D45,AZ$7:AZ$26,"&gt;=0")</f>
        <v/>
      </c>
      <c r="G45" s="18">
        <f>IFERROR((SUMIF($F$7:$F$26,$D45,AY$7:AY$26)+SUMIF($G$7:$G$26,$D45,AZ$7:AZ$26))/F45,"")</f>
        <v/>
      </c>
      <c r="H45" s="12">
        <f>IFERROR((COUNTIFS($F$7:$F$26,$D45,AY$7:AY$26,"&gt;="&amp;Mapping!$C$12)+COUNTIFS($G$7:$G$26,$D45,AZ$7:AZ$26,"&gt;="&amp;Mapping!$C$12))/F45,"")</f>
        <v/>
      </c>
    </row>
    <row r="46">
      <c r="D46" s="5">
        <f>'SDG List'!A7</f>
        <v/>
      </c>
      <c r="E46" s="11">
        <f>COUNTIF($F$7:$F$26,$D46)+COUNTIF($G$7:$G$26,$D46)-COUNTIFS($F$7:$F$26,$D46,$G$7:$G$26,$D46)</f>
        <v/>
      </c>
      <c r="F46" s="11">
        <f>COUNTIFS($F$7:$F$26,$D46,AY$7:AY$26,"&gt;=0")+COUNTIFS($G$7:$G$26,$D46,AZ$7:AZ$26,"&gt;=0")</f>
        <v/>
      </c>
      <c r="G46" s="18">
        <f>IFERROR((SUMIF($F$7:$F$26,$D46,AY$7:AY$26)+SUMIF($G$7:$G$26,$D46,AZ$7:AZ$26))/F46,"")</f>
        <v/>
      </c>
      <c r="H46" s="12">
        <f>IFERROR((COUNTIFS($F$7:$F$26,$D46,AY$7:AY$26,"&gt;="&amp;Mapping!$C$12)+COUNTIFS($G$7:$G$26,$D46,AZ$7:AZ$26,"&gt;="&amp;Mapping!$C$12))/F46,"")</f>
        <v/>
      </c>
    </row>
    <row r="47">
      <c r="D47" s="5">
        <f>'SDG List'!A8</f>
        <v/>
      </c>
      <c r="E47" s="11">
        <f>COUNTIF($F$7:$F$26,$D47)+COUNTIF($G$7:$G$26,$D47)-COUNTIFS($F$7:$F$26,$D47,$G$7:$G$26,$D47)</f>
        <v/>
      </c>
      <c r="F47" s="11">
        <f>COUNTIFS($F$7:$F$26,$D47,AY$7:AY$26,"&gt;=0")+COUNTIFS($G$7:$G$26,$D47,AZ$7:AZ$26,"&gt;=0")</f>
        <v/>
      </c>
      <c r="G47" s="18">
        <f>IFERROR((SUMIF($F$7:$F$26,$D47,AY$7:AY$26)+SUMIF($G$7:$G$26,$D47,AZ$7:AZ$26))/F47,"")</f>
        <v/>
      </c>
      <c r="H47" s="12">
        <f>IFERROR((COUNTIFS($F$7:$F$26,$D47,AY$7:AY$26,"&gt;="&amp;Mapping!$C$12)+COUNTIFS($G$7:$G$26,$D47,AZ$7:AZ$26,"&gt;="&amp;Mapping!$C$12))/F47,"")</f>
        <v/>
      </c>
    </row>
    <row r="48">
      <c r="D48" s="5">
        <f>'SDG List'!A9</f>
        <v/>
      </c>
      <c r="E48" s="11">
        <f>COUNTIF($F$7:$F$26,$D48)+COUNTIF($G$7:$G$26,$D48)-COUNTIFS($F$7:$F$26,$D48,$G$7:$G$26,$D48)</f>
        <v/>
      </c>
      <c r="F48" s="11">
        <f>COUNTIFS($F$7:$F$26,$D48,AY$7:AY$26,"&gt;=0")+COUNTIFS($G$7:$G$26,$D48,AZ$7:AZ$26,"&gt;=0")</f>
        <v/>
      </c>
      <c r="G48" s="18">
        <f>IFERROR((SUMIF($F$7:$F$26,$D48,AY$7:AY$26)+SUMIF($G$7:$G$26,$D48,AZ$7:AZ$26))/F48,"")</f>
        <v/>
      </c>
      <c r="H48" s="12">
        <f>IFERROR((COUNTIFS($F$7:$F$26,$D48,AY$7:AY$26,"&gt;="&amp;Mapping!$C$12)+COUNTIFS($G$7:$G$26,$D48,AZ$7:AZ$26,"&gt;="&amp;Mapping!$C$12))/F48,"")</f>
        <v/>
      </c>
    </row>
    <row r="49">
      <c r="D49" s="5">
        <f>'SDG List'!A10</f>
        <v/>
      </c>
      <c r="E49" s="11">
        <f>COUNTIF($F$7:$F$26,$D49)+COUNTIF($G$7:$G$26,$D49)-COUNTIFS($F$7:$F$26,$D49,$G$7:$G$26,$D49)</f>
        <v/>
      </c>
      <c r="F49" s="11">
        <f>COUNTIFS($F$7:$F$26,$D49,AY$7:AY$26,"&gt;=0")+COUNTIFS($G$7:$G$26,$D49,AZ$7:AZ$26,"&gt;=0")</f>
        <v/>
      </c>
      <c r="G49" s="18">
        <f>IFERROR((SUMIF($F$7:$F$26,$D49,AY$7:AY$26)+SUMIF($G$7:$G$26,$D49,AZ$7:AZ$26))/F49,"")</f>
        <v/>
      </c>
      <c r="H49" s="12">
        <f>IFERROR((COUNTIFS($F$7:$F$26,$D49,AY$7:AY$26,"&gt;="&amp;Mapping!$C$12)+COUNTIFS($G$7:$G$26,$D49,AZ$7:AZ$26,"&gt;="&amp;Mapping!$C$12))/F49,"")</f>
        <v/>
      </c>
    </row>
    <row r="50">
      <c r="D50" s="5">
        <f>'SDG List'!A11</f>
        <v/>
      </c>
      <c r="E50" s="11">
        <f>COUNTIF($F$7:$F$26,$D50)+COUNTIF($G$7:$G$26,$D50)-COUNTIFS($F$7:$F$26,$D50,$G$7:$G$26,$D50)</f>
        <v/>
      </c>
      <c r="F50" s="11">
        <f>COUNTIFS($F$7:$F$26,$D50,AY$7:AY$26,"&gt;=0")+COUNTIFS($G$7:$G$26,$D50,AZ$7:AZ$26,"&gt;=0")</f>
        <v/>
      </c>
      <c r="G50" s="18">
        <f>IFERROR((SUMIF($F$7:$F$26,$D50,AY$7:AY$26)+SUMIF($G$7:$G$26,$D50,AZ$7:AZ$26))/F50,"")</f>
        <v/>
      </c>
      <c r="H50" s="12">
        <f>IFERROR((COUNTIFS($F$7:$F$26,$D50,AY$7:AY$26,"&gt;="&amp;Mapping!$C$12)+COUNTIFS($G$7:$G$26,$D50,AZ$7:AZ$26,"&gt;="&amp;Mapping!$C$12))/F50,"")</f>
        <v/>
      </c>
    </row>
    <row r="51">
      <c r="D51" s="5">
        <f>'SDG List'!A12</f>
        <v/>
      </c>
      <c r="E51" s="11">
        <f>COUNTIF($F$7:$F$26,$D51)+COUNTIF($G$7:$G$26,$D51)-COUNTIFS($F$7:$F$26,$D51,$G$7:$G$26,$D51)</f>
        <v/>
      </c>
      <c r="F51" s="11">
        <f>COUNTIFS($F$7:$F$26,$D51,AY$7:AY$26,"&gt;=0")+COUNTIFS($G$7:$G$26,$D51,AZ$7:AZ$26,"&gt;=0")</f>
        <v/>
      </c>
      <c r="G51" s="18">
        <f>IFERROR((SUMIF($F$7:$F$26,$D51,AY$7:AY$26)+SUMIF($G$7:$G$26,$D51,AZ$7:AZ$26))/F51,"")</f>
        <v/>
      </c>
      <c r="H51" s="12">
        <f>IFERROR((COUNTIFS($F$7:$F$26,$D51,AY$7:AY$26,"&gt;="&amp;Mapping!$C$12)+COUNTIFS($G$7:$G$26,$D51,AZ$7:AZ$26,"&gt;="&amp;Mapping!$C$12))/F51,"")</f>
        <v/>
      </c>
    </row>
    <row r="52">
      <c r="D52" s="5">
        <f>'SDG List'!A13</f>
        <v/>
      </c>
      <c r="E52" s="11">
        <f>COUNTIF($F$7:$F$26,$D52)+COUNTIF($G$7:$G$26,$D52)-COUNTIFS($F$7:$F$26,$D52,$G$7:$G$26,$D52)</f>
        <v/>
      </c>
      <c r="F52" s="11">
        <f>COUNTIFS($F$7:$F$26,$D52,AY$7:AY$26,"&gt;=0")+COUNTIFS($G$7:$G$26,$D52,AZ$7:AZ$26,"&gt;=0")</f>
        <v/>
      </c>
      <c r="G52" s="18">
        <f>IFERROR((SUMIF($F$7:$F$26,$D52,AY$7:AY$26)+SUMIF($G$7:$G$26,$D52,AZ$7:AZ$26))/F52,"")</f>
        <v/>
      </c>
      <c r="H52" s="12">
        <f>IFERROR((COUNTIFS($F$7:$F$26,$D52,AY$7:AY$26,"&gt;="&amp;Mapping!$C$12)+COUNTIFS($G$7:$G$26,$D52,AZ$7:AZ$26,"&gt;="&amp;Mapping!$C$12))/F52,"")</f>
        <v/>
      </c>
    </row>
    <row r="53">
      <c r="D53" s="5">
        <f>'SDG List'!A14</f>
        <v/>
      </c>
      <c r="E53" s="11">
        <f>COUNTIF($F$7:$F$26,$D53)+COUNTIF($G$7:$G$26,$D53)-COUNTIFS($F$7:$F$26,$D53,$G$7:$G$26,$D53)</f>
        <v/>
      </c>
      <c r="F53" s="11">
        <f>COUNTIFS($F$7:$F$26,$D53,AY$7:AY$26,"&gt;=0")+COUNTIFS($G$7:$G$26,$D53,AZ$7:AZ$26,"&gt;=0")</f>
        <v/>
      </c>
      <c r="G53" s="18">
        <f>IFERROR((SUMIF($F$7:$F$26,$D53,AY$7:AY$26)+SUMIF($G$7:$G$26,$D53,AZ$7:AZ$26))/F53,"")</f>
        <v/>
      </c>
      <c r="H53" s="12">
        <f>IFERROR((COUNTIFS($F$7:$F$26,$D53,AY$7:AY$26,"&gt;="&amp;Mapping!$C$12)+COUNTIFS($G$7:$G$26,$D53,AZ$7:AZ$26,"&gt;="&amp;Mapping!$C$12))/F53,"")</f>
        <v/>
      </c>
    </row>
    <row r="54">
      <c r="D54" s="5">
        <f>'SDG List'!A15</f>
        <v/>
      </c>
      <c r="E54" s="11">
        <f>COUNTIF($F$7:$F$26,$D54)+COUNTIF($G$7:$G$26,$D54)-COUNTIFS($F$7:$F$26,$D54,$G$7:$G$26,$D54)</f>
        <v/>
      </c>
      <c r="F54" s="11">
        <f>COUNTIFS($F$7:$F$26,$D54,AY$7:AY$26,"&gt;=0")+COUNTIFS($G$7:$G$26,$D54,AZ$7:AZ$26,"&gt;=0")</f>
        <v/>
      </c>
      <c r="G54" s="18">
        <f>IFERROR((SUMIF($F$7:$F$26,$D54,AY$7:AY$26)+SUMIF($G$7:$G$26,$D54,AZ$7:AZ$26))/F54,"")</f>
        <v/>
      </c>
      <c r="H54" s="12">
        <f>IFERROR((COUNTIFS($F$7:$F$26,$D54,AY$7:AY$26,"&gt;="&amp;Mapping!$C$12)+COUNTIFS($G$7:$G$26,$D54,AZ$7:AZ$26,"&gt;="&amp;Mapping!$C$12))/F54,"")</f>
        <v/>
      </c>
    </row>
    <row r="55">
      <c r="D55" s="5">
        <f>'SDG List'!A16</f>
        <v/>
      </c>
      <c r="E55" s="11">
        <f>COUNTIF($F$7:$F$26,$D55)+COUNTIF($G$7:$G$26,$D55)-COUNTIFS($F$7:$F$26,$D55,$G$7:$G$26,$D55)</f>
        <v/>
      </c>
      <c r="F55" s="11">
        <f>COUNTIFS($F$7:$F$26,$D55,AY$7:AY$26,"&gt;=0")+COUNTIFS($G$7:$G$26,$D55,AZ$7:AZ$26,"&gt;=0")</f>
        <v/>
      </c>
      <c r="G55" s="18">
        <f>IFERROR((SUMIF($F$7:$F$26,$D55,AY$7:AY$26)+SUMIF($G$7:$G$26,$D55,AZ$7:AZ$26))/F55,"")</f>
        <v/>
      </c>
      <c r="H55" s="12">
        <f>IFERROR((COUNTIFS($F$7:$F$26,$D55,AY$7:AY$26,"&gt;="&amp;Mapping!$C$12)+COUNTIFS($G$7:$G$26,$D55,AZ$7:AZ$26,"&gt;="&amp;Mapping!$C$12))/F55,"")</f>
        <v/>
      </c>
    </row>
    <row r="56">
      <c r="D56" s="5">
        <f>'SDG List'!A17</f>
        <v/>
      </c>
      <c r="E56" s="11">
        <f>COUNTIF($F$7:$F$26,$D56)+COUNTIF($G$7:$G$26,$D56)-COUNTIFS($F$7:$F$26,$D56,$G$7:$G$26,$D56)</f>
        <v/>
      </c>
      <c r="F56" s="11">
        <f>COUNTIFS($F$7:$F$26,$D56,AY$7:AY$26,"&gt;=0")+COUNTIFS($G$7:$G$26,$D56,AZ$7:AZ$26,"&gt;=0")</f>
        <v/>
      </c>
      <c r="G56" s="18">
        <f>IFERROR((SUMIF($F$7:$F$26,$D56,AY$7:AY$26)+SUMIF($G$7:$G$26,$D56,AZ$7:AZ$26))/F56,"")</f>
        <v/>
      </c>
      <c r="H56" s="12">
        <f>IFERROR((COUNTIFS($F$7:$F$26,$D56,AY$7:AY$26,"&gt;="&amp;Mapping!$C$12)+COUNTIFS($G$7:$G$26,$D56,AZ$7:AZ$26,"&gt;="&amp;Mapping!$C$12))/F56,"")</f>
        <v/>
      </c>
    </row>
    <row r="57">
      <c r="D57" s="5">
        <f>'SDG List'!A18</f>
        <v/>
      </c>
      <c r="E57" s="11">
        <f>COUNTIF($F$7:$F$26,$D57)+COUNTIF($G$7:$G$26,$D57)-COUNTIFS($F$7:$F$26,$D57,$G$7:$G$26,$D57)</f>
        <v/>
      </c>
      <c r="F57" s="11">
        <f>COUNTIFS($F$7:$F$26,$D57,AY$7:AY$26,"&gt;=0")+COUNTIFS($G$7:$G$26,$D57,AZ$7:AZ$26,"&gt;=0")</f>
        <v/>
      </c>
      <c r="G57" s="18">
        <f>IFERROR((SUMIF($F$7:$F$26,$D57,AY$7:AY$26)+SUMIF($G$7:$G$26,$D57,AZ$7:AZ$26))/F57,"")</f>
        <v/>
      </c>
      <c r="H57" s="12">
        <f>IFERROR((COUNTIFS($F$7:$F$26,$D57,AY$7:AY$26,"&gt;="&amp;Mapping!$C$12)+COUNTIFS($G$7:$G$26,$D57,AZ$7:AZ$26,"&gt;="&amp;Mapping!$C$12))/F57,"")</f>
        <v/>
      </c>
    </row>
  </sheetData>
  <sheetProtection selectLockedCells="0" selectUnlockedCells="0" sheet="1" objects="0" insertRows="1" insertHyperlinks="1" autoFilter="1" scenarios="0" formatColumns="0" deleteColumns="1" insertColumns="1" pivotTables="1" deleteRows="1" formatCells="1" formatRows="0" sort="1"/>
  <mergeCells count="29">
    <mergeCell ref="E5:E6"/>
    <mergeCell ref="AP2:BB2"/>
    <mergeCell ref="AE4:AO4"/>
    <mergeCell ref="BA4:BD4"/>
    <mergeCell ref="F5:F6"/>
    <mergeCell ref="B2:C2"/>
    <mergeCell ref="AE3:AF3"/>
    <mergeCell ref="T4:AD4"/>
    <mergeCell ref="AY4:AZ4"/>
    <mergeCell ref="BP4:BQ4"/>
    <mergeCell ref="BE4:BO4"/>
    <mergeCell ref="A1:AO1"/>
    <mergeCell ref="AG3:AO3"/>
    <mergeCell ref="I3:J3"/>
    <mergeCell ref="A5:A6"/>
    <mergeCell ref="G5:G6"/>
    <mergeCell ref="AP4:AX4"/>
    <mergeCell ref="V3:AD3"/>
    <mergeCell ref="K3:S3"/>
    <mergeCell ref="B5:B6"/>
    <mergeCell ref="D5:D6"/>
    <mergeCell ref="A4:H4"/>
    <mergeCell ref="D39:H39"/>
    <mergeCell ref="H5:H6"/>
    <mergeCell ref="I4:S4"/>
    <mergeCell ref="AP1:BQ1"/>
    <mergeCell ref="T3:U3"/>
    <mergeCell ref="E2:H2"/>
    <mergeCell ref="C5:C6"/>
  </mergeCells>
  <conditionalFormatting sqref="BD7:BD26">
    <cfRule type="cellIs" priority="1" operator="equal" dxfId="4">
      <formula>"Shortlisted"</formula>
    </cfRule>
  </conditionalFormatting>
  <conditionalFormatting sqref="S7:S26">
    <cfRule type="expression" priority="2" dxfId="5">
      <formula>OR($G7="",$G7=$F7)</formula>
    </cfRule>
  </conditionalFormatting>
  <conditionalFormatting sqref="AD7:AD26">
    <cfRule type="expression" priority="3" dxfId="5">
      <formula>OR($G7="",$G7=$F7)</formula>
    </cfRule>
  </conditionalFormatting>
  <conditionalFormatting sqref="AO7:AO26">
    <cfRule type="expression" priority="4" dxfId="5">
      <formula>OR($G7="",$G7=$F7)</formula>
    </cfRule>
  </conditionalFormatting>
  <conditionalFormatting sqref="BE32:BQ32">
    <cfRule type="expression" priority="5" dxfId="0">
      <formula>AND(ISNUMBER(BE32),BE32=3)</formula>
    </cfRule>
    <cfRule type="expression" priority="6" dxfId="1">
      <formula>AND(ISNUMBER(BE32),BE32=2)</formula>
    </cfRule>
    <cfRule type="expression" priority="7" dxfId="2">
      <formula>AND(ISNUMBER(BE32),BE32=1)</formula>
    </cfRule>
    <cfRule type="expression" priority="8" dxfId="3">
      <formula>AND(ISNUMBER(BE32),BE32=0)</formula>
    </cfRule>
  </conditionalFormatting>
  <dataValidations count="31">
    <dataValidation sqref="I7:I26" showDropDown="0" showInputMessage="0" showErrorMessage="1" allowBlank="0" errorTitle="Score out of range" error="Enter a score between 0 and the criterion's Max Marks (row 6)." type="decimal" operator="between">
      <formula1>0</formula1>
      <formula2>$I$6</formula2>
    </dataValidation>
    <dataValidation sqref="J7:J26" showDropDown="0" showInputMessage="0" showErrorMessage="1" allowBlank="0" errorTitle="Score out of range" error="Enter a score between 0 and the criterion's Max Marks (row 6)." type="decimal" operator="between">
      <formula1>0</formula1>
      <formula2>$J$6</formula2>
    </dataValidation>
    <dataValidation sqref="K7:K26" showDropDown="0" showInputMessage="0" showErrorMessage="1" allowBlank="0" errorTitle="Score out of range" error="Enter a score between 0 and the criterion's Max Marks (row 6)." type="decimal" operator="between">
      <formula1>0</formula1>
      <formula2>$K$6</formula2>
    </dataValidation>
    <dataValidation sqref="L7:L26" showDropDown="0" showInputMessage="0" showErrorMessage="1" allowBlank="0" errorTitle="Score out of range" error="Enter a score between 0 and the criterion's Max Marks (row 6)." type="decimal" operator="between">
      <formula1>0</formula1>
      <formula2>$L$6</formula2>
    </dataValidation>
    <dataValidation sqref="M7:M26" showDropDown="0" showInputMessage="0" showErrorMessage="1" allowBlank="0" errorTitle="Score out of range" error="Enter a score between 0 and the criterion's Max Marks (row 6)." type="decimal" operator="between">
      <formula1>0</formula1>
      <formula2>$M$6</formula2>
    </dataValidation>
    <dataValidation sqref="N7:N26" showDropDown="0" showInputMessage="0" showErrorMessage="1" allowBlank="0" errorTitle="Score out of range" error="Enter a score between 0 and the criterion's Max Marks (row 6)." type="decimal" operator="between">
      <formula1>0</formula1>
      <formula2>$N$6</formula2>
    </dataValidation>
    <dataValidation sqref="O7:O26" showDropDown="0" showInputMessage="0" showErrorMessage="1" allowBlank="0" errorTitle="Score out of range" error="Enter a score between 0 and the criterion's Max Marks (row 6)." type="decimal" operator="between">
      <formula1>0</formula1>
      <formula2>$O$6</formula2>
    </dataValidation>
    <dataValidation sqref="P7:P26" showDropDown="0" showInputMessage="0" showErrorMessage="1" allowBlank="0" errorTitle="Score out of range" error="Enter a score between 0 and the criterion's Max Marks (row 6)." type="decimal" operator="between">
      <formula1>0</formula1>
      <formula2>$P$6</formula2>
    </dataValidation>
    <dataValidation sqref="Q7:Q26" showDropDown="0" showInputMessage="0" showErrorMessage="1" allowBlank="0" errorTitle="Score out of range" error="Enter a score between 0 and the criterion's Max Marks (row 6)." type="decimal" operator="between">
      <formula1>0</formula1>
      <formula2>$Q$6</formula2>
    </dataValidation>
    <dataValidation sqref="R7:S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T7:T26" showDropDown="0" showInputMessage="0" showErrorMessage="1" allowBlank="0" errorTitle="Score out of range" error="Enter a score between 0 and the criterion's Max Marks (row 6)." type="decimal" operator="between">
      <formula1>0</formula1>
      <formula2>$T$6</formula2>
    </dataValidation>
    <dataValidation sqref="U7:U26" showDropDown="0" showInputMessage="0" showErrorMessage="1" allowBlank="0" errorTitle="Score out of range" error="Enter a score between 0 and the criterion's Max Marks (row 6)." type="decimal" operator="between">
      <formula1>0</formula1>
      <formula2>$U$6</formula2>
    </dataValidation>
    <dataValidation sqref="V7:V26" showDropDown="0" showInputMessage="0" showErrorMessage="1" allowBlank="0" errorTitle="Score out of range" error="Enter a score between 0 and the criterion's Max Marks (row 6)." type="decimal" operator="between">
      <formula1>0</formula1>
      <formula2>$V$6</formula2>
    </dataValidation>
    <dataValidation sqref="W7:W26" showDropDown="0" showInputMessage="0" showErrorMessage="1" allowBlank="0" errorTitle="Score out of range" error="Enter a score between 0 and the criterion's Max Marks (row 6)." type="decimal" operator="between">
      <formula1>0</formula1>
      <formula2>$W$6</formula2>
    </dataValidation>
    <dataValidation sqref="X7:X26" showDropDown="0" showInputMessage="0" showErrorMessage="1" allowBlank="0" errorTitle="Score out of range" error="Enter a score between 0 and the criterion's Max Marks (row 6)." type="decimal" operator="between">
      <formula1>0</formula1>
      <formula2>$X$6</formula2>
    </dataValidation>
    <dataValidation sqref="Y7:Y26" showDropDown="0" showInputMessage="0" showErrorMessage="1" allowBlank="0" errorTitle="Score out of range" error="Enter a score between 0 and the criterion's Max Marks (row 6)." type="decimal" operator="between">
      <formula1>0</formula1>
      <formula2>$Y$6</formula2>
    </dataValidation>
    <dataValidation sqref="Z7:Z26" showDropDown="0" showInputMessage="0" showErrorMessage="1" allowBlank="0" errorTitle="Score out of range" error="Enter a score between 0 and the criterion's Max Marks (row 6)." type="decimal" operator="between">
      <formula1>0</formula1>
      <formula2>$Z$6</formula2>
    </dataValidation>
    <dataValidation sqref="AA7:AA26" showDropDown="0" showInputMessage="0" showErrorMessage="1" allowBlank="0" errorTitle="Score out of range" error="Enter a score between 0 and the criterion's Max Marks (row 6)." type="decimal" operator="between">
      <formula1>0</formula1>
      <formula2>$AA$6</formula2>
    </dataValidation>
    <dataValidation sqref="AB7:AB26" showDropDown="0" showInputMessage="0" showErrorMessage="1" allowBlank="0" errorTitle="Score out of range" error="Enter a score between 0 and the criterion's Max Marks (row 6)." type="decimal" operator="between">
      <formula1>0</formula1>
      <formula2>$AB$6</formula2>
    </dataValidation>
    <dataValidation sqref="AC7:AD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AE7:AE26" showDropDown="0" showInputMessage="0" showErrorMessage="1" allowBlank="0" errorTitle="Score out of range" error="Enter a score between 0 and the criterion's Max Marks (row 6)." type="decimal" operator="between">
      <formula1>0</formula1>
      <formula2>$AE$6</formula2>
    </dataValidation>
    <dataValidation sqref="AF7:AF26" showDropDown="0" showInputMessage="0" showErrorMessage="1" allowBlank="0" errorTitle="Score out of range" error="Enter a score between 0 and the criterion's Max Marks (row 6)." type="decimal" operator="between">
      <formula1>0</formula1>
      <formula2>$AF$6</formula2>
    </dataValidation>
    <dataValidation sqref="AG7:AG26" showDropDown="0" showInputMessage="0" showErrorMessage="1" allowBlank="0" errorTitle="Score out of range" error="Enter a score between 0 and the criterion's Max Marks (row 6)." type="decimal" operator="between">
      <formula1>0</formula1>
      <formula2>$AG$6</formula2>
    </dataValidation>
    <dataValidation sqref="AH7:AH26" showDropDown="0" showInputMessage="0" showErrorMessage="1" allowBlank="0" errorTitle="Score out of range" error="Enter a score between 0 and the criterion's Max Marks (row 6)." type="decimal" operator="between">
      <formula1>0</formula1>
      <formula2>$AH$6</formula2>
    </dataValidation>
    <dataValidation sqref="AI7:AI26" showDropDown="0" showInputMessage="0" showErrorMessage="1" allowBlank="0" errorTitle="Score out of range" error="Enter a score between 0 and the criterion's Max Marks (row 6)." type="decimal" operator="between">
      <formula1>0</formula1>
      <formula2>$AI$6</formula2>
    </dataValidation>
    <dataValidation sqref="AJ7:AJ26" showDropDown="0" showInputMessage="0" showErrorMessage="1" allowBlank="0" errorTitle="Score out of range" error="Enter a score between 0 and the criterion's Max Marks (row 6)." type="decimal" operator="between">
      <formula1>0</formula1>
      <formula2>$AJ$6</formula2>
    </dataValidation>
    <dataValidation sqref="AK7:AK26" showDropDown="0" showInputMessage="0" showErrorMessage="1" allowBlank="0" errorTitle="Score out of range" error="Enter a score between 0 and the criterion's Max Marks (row 6)." type="decimal" operator="between">
      <formula1>0</formula1>
      <formula2>$AK$6</formula2>
    </dataValidation>
    <dataValidation sqref="AL7:AL26" showDropDown="0" showInputMessage="0" showErrorMessage="1" allowBlank="0" errorTitle="Score out of range" error="Enter a score between 0 and the criterion's Max Marks (row 6)." type="decimal" operator="between">
      <formula1>0</formula1>
      <formula2>$AL$6</formula2>
    </dataValidation>
    <dataValidation sqref="AM7:AM26" showDropDown="0" showInputMessage="0" showErrorMessage="1" allowBlank="0" errorTitle="Score out of range" error="Enter a score between 0 and the criterion's Max Marks (row 6)." type="decimal" operator="between">
      <formula1>0</formula1>
      <formula2>$AM$6</formula2>
    </dataValidation>
    <dataValidation sqref="AN7:AO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F7:G26" showDropDown="0" showInputMessage="0" showErrorMessage="1" allowBlank="1" errorTitle="Pick an SDG" error="Select an SDG from the list." type="list">
      <formula1>SDGList</formula1>
    </dataValidation>
  </dataValidation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2E75B6"/>
    <outlinePr summaryBelow="1" summaryRight="1"/>
    <pageSetUpPr fitToPage="1"/>
  </sheetPr>
  <dimension ref="A1:BR57"/>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9" customWidth="1" min="3" max="3"/>
    <col width="30" customWidth="1" min="4" max="4"/>
    <col width="30" customWidth="1" min="5" max="5"/>
    <col width="26" customWidth="1" min="6" max="6"/>
    <col width="26" customWidth="1" min="7" max="7"/>
    <col width="34"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8.5" customWidth="1" min="17" max="17"/>
    <col width="8.5" customWidth="1" min="18" max="18"/>
    <col width="8.5" customWidth="1" min="19" max="19"/>
    <col width="8.5" customWidth="1" min="20" max="20"/>
    <col width="8.5" customWidth="1" min="21" max="21"/>
    <col width="8.5" customWidth="1" min="22" max="22"/>
    <col width="8.5" customWidth="1" min="23" max="23"/>
    <col width="8.5" customWidth="1" min="24" max="24"/>
    <col width="8.5" customWidth="1" min="25" max="25"/>
    <col width="8.5" customWidth="1" min="26" max="26"/>
    <col width="8.5" customWidth="1" min="27" max="27"/>
    <col width="8.5" customWidth="1" min="28" max="28"/>
    <col width="8.5" customWidth="1" min="29" max="29"/>
    <col width="8.5" customWidth="1" min="30" max="30"/>
    <col width="8.5" customWidth="1" min="31" max="31"/>
    <col width="8.5" customWidth="1" min="32" max="32"/>
    <col width="8.5" customWidth="1" min="33" max="33"/>
    <col width="8.5" customWidth="1" min="34" max="34"/>
    <col width="8.5" customWidth="1" min="35" max="35"/>
    <col width="8.5" customWidth="1" min="36" max="36"/>
    <col width="8.5" customWidth="1" min="37" max="37"/>
    <col width="8.5" customWidth="1" min="38" max="38"/>
    <col width="8.5" customWidth="1" min="39" max="39"/>
    <col width="8.5" customWidth="1" min="40" max="40"/>
    <col width="8.5" customWidth="1" min="41" max="41"/>
    <col width="8.5" customWidth="1" min="42" max="42"/>
    <col width="8.5" customWidth="1" min="43" max="43"/>
    <col width="8.5" customWidth="1" min="44" max="44"/>
    <col width="8.5" customWidth="1" min="45" max="45"/>
    <col width="8.5" customWidth="1" min="46" max="46"/>
    <col width="8.5" customWidth="1" min="47" max="47"/>
    <col width="8.5" customWidth="1" min="48" max="48"/>
    <col width="8.5" customWidth="1" min="49" max="49"/>
    <col width="8.5" customWidth="1" min="50" max="50"/>
    <col width="8.5" customWidth="1" min="51" max="51"/>
    <col width="8.5" customWidth="1" min="52" max="52"/>
    <col width="8.5" customWidth="1" min="53" max="53"/>
    <col width="8.5" customWidth="1" min="54" max="54"/>
    <col width="8.5" customWidth="1" min="55" max="55"/>
    <col width="14" customWidth="1" min="56" max="56"/>
    <col width="8.5" customWidth="1" min="57" max="57"/>
    <col width="8.5" customWidth="1" min="58" max="58"/>
    <col width="8.5" customWidth="1" min="59" max="59"/>
    <col width="8.5" customWidth="1" min="60" max="60"/>
    <col width="8.5" customWidth="1" min="61" max="61"/>
    <col width="8.5" customWidth="1" min="62" max="62"/>
    <col width="8.5" customWidth="1" min="63" max="63"/>
    <col width="8.5" customWidth="1" min="64" max="64"/>
    <col width="8.5" customWidth="1" min="65" max="65"/>
    <col width="8.5" customWidth="1" min="66" max="66"/>
    <col width="8.5" customWidth="1" min="67" max="67"/>
    <col width="8.5" customWidth="1" min="68" max="68"/>
    <col width="8.5" customWidth="1" min="69" max="69"/>
    <col hidden="1" width="13" customWidth="1" min="70" max="70"/>
  </cols>
  <sheetData>
    <row r="1">
      <c r="A1" s="26">
        <f>Mapping!$C$3&amp;" — 3rd Semester Section B — Intra-Class Hackathon"</f>
        <v/>
      </c>
      <c r="AP1" s="9">
        <f>Mapping!$C$4&amp;" | Dept. of "&amp;Mapping!$C$5&amp;" | AY "&amp;Mapping!$C$6</f>
        <v/>
      </c>
    </row>
    <row r="2">
      <c r="A2" s="24" t="inlineStr">
        <is>
          <t>Date:</t>
        </is>
      </c>
      <c r="B2" s="29" t="n"/>
      <c r="C2" s="21" t="n"/>
      <c r="D2" s="32" t="inlineStr">
        <is>
          <t>Venue / Coordinator:</t>
        </is>
      </c>
      <c r="E2" s="6" t="n"/>
      <c r="F2" s="21" t="n"/>
      <c r="G2" s="21" t="n"/>
      <c r="H2" s="21" t="n"/>
      <c r="AP2" s="32">
        <f>"PO/PSO target per team: "&amp;TEXT(Mapping!$C$7,"0%")&amp;"  |  SDG reached at strength ≥ "&amp;Mapping!$C$12&amp;"  |  Shortlist: top "&amp;Mapping!$C$11</f>
        <v/>
      </c>
      <c r="AQ2" s="36" t="n"/>
      <c r="AR2" s="36" t="n"/>
      <c r="AS2" s="36" t="n"/>
      <c r="AT2" s="36" t="n"/>
      <c r="AU2" s="36" t="n"/>
      <c r="AV2" s="36" t="n"/>
      <c r="AW2" s="36" t="n"/>
      <c r="AX2" s="36" t="n"/>
      <c r="AY2" s="36" t="n"/>
      <c r="AZ2" s="36" t="n"/>
      <c r="BA2" s="36" t="n"/>
      <c r="BB2" s="4" t="n"/>
    </row>
    <row r="3">
      <c r="D3" s="32" t="inlineStr">
        <is>
          <t>Evaluator names →</t>
        </is>
      </c>
      <c r="I3" s="40" t="inlineStr">
        <is>
          <t>Evaluator 1:</t>
        </is>
      </c>
      <c r="J3" s="4" t="n"/>
      <c r="K3" s="6" t="n"/>
      <c r="L3" s="21" t="n"/>
      <c r="M3" s="21" t="n"/>
      <c r="N3" s="21" t="n"/>
      <c r="O3" s="21" t="n"/>
      <c r="P3" s="21" t="n"/>
      <c r="Q3" s="21" t="n"/>
      <c r="R3" s="21" t="n"/>
      <c r="S3" s="21" t="n"/>
      <c r="T3" s="41" t="inlineStr">
        <is>
          <t>Evaluator 2:</t>
        </is>
      </c>
      <c r="U3" s="4" t="n"/>
      <c r="V3" s="6" t="n"/>
      <c r="W3" s="21" t="n"/>
      <c r="X3" s="21" t="n"/>
      <c r="Y3" s="21" t="n"/>
      <c r="Z3" s="21" t="n"/>
      <c r="AA3" s="21" t="n"/>
      <c r="AB3" s="21" t="n"/>
      <c r="AC3" s="21" t="n"/>
      <c r="AD3" s="21" t="n"/>
      <c r="AE3" s="42" t="inlineStr">
        <is>
          <t>Evaluator 3:</t>
        </is>
      </c>
      <c r="AF3" s="4" t="n"/>
      <c r="AG3" s="6" t="n"/>
      <c r="AH3" s="21" t="n"/>
      <c r="AI3" s="21" t="n"/>
      <c r="AJ3" s="21" t="n"/>
      <c r="AK3" s="21" t="n"/>
      <c r="AL3" s="21" t="n"/>
      <c r="AM3" s="21" t="n"/>
      <c r="AN3" s="21" t="n"/>
      <c r="AO3" s="21" t="n"/>
    </row>
    <row r="4" ht="30" customHeight="1">
      <c r="A4" s="9" t="inlineStr">
        <is>
          <t>Team Details (Coordinator)</t>
        </is>
      </c>
      <c r="B4" s="21" t="n"/>
      <c r="C4" s="21" t="n"/>
      <c r="D4" s="21" t="n"/>
      <c r="E4" s="21" t="n"/>
      <c r="F4" s="21" t="n"/>
      <c r="G4" s="21" t="n"/>
      <c r="H4" s="21" t="n"/>
      <c r="I4" s="43" t="inlineStr">
        <is>
          <t>Evaluator 1 — rubric marks, then SDG contribution strength (0–3)</t>
        </is>
      </c>
      <c r="J4" s="21" t="n"/>
      <c r="K4" s="21" t="n"/>
      <c r="L4" s="21" t="n"/>
      <c r="M4" s="21" t="n"/>
      <c r="N4" s="21" t="n"/>
      <c r="O4" s="21" t="n"/>
      <c r="P4" s="21" t="n"/>
      <c r="Q4" s="21" t="n"/>
      <c r="R4" s="21" t="n"/>
      <c r="S4" s="21" t="n"/>
      <c r="T4" s="44" t="inlineStr">
        <is>
          <t>Evaluator 2 — rubric marks, then SDG contribution strength (0–3)</t>
        </is>
      </c>
      <c r="U4" s="21" t="n"/>
      <c r="V4" s="21" t="n"/>
      <c r="W4" s="21" t="n"/>
      <c r="X4" s="21" t="n"/>
      <c r="Y4" s="21" t="n"/>
      <c r="Z4" s="21" t="n"/>
      <c r="AA4" s="21" t="n"/>
      <c r="AB4" s="21" t="n"/>
      <c r="AC4" s="21" t="n"/>
      <c r="AD4" s="21" t="n"/>
      <c r="AE4" s="45" t="inlineStr">
        <is>
          <t>Evaluator 3 — rubric marks, then SDG contribution strength (0–3)</t>
        </is>
      </c>
      <c r="AF4" s="21" t="n"/>
      <c r="AG4" s="21" t="n"/>
      <c r="AH4" s="21" t="n"/>
      <c r="AI4" s="21" t="n"/>
      <c r="AJ4" s="21" t="n"/>
      <c r="AK4" s="21" t="n"/>
      <c r="AL4" s="21" t="n"/>
      <c r="AM4" s="21" t="n"/>
      <c r="AN4" s="21" t="n"/>
      <c r="AO4" s="21" t="n"/>
      <c r="AP4" s="46" t="inlineStr">
        <is>
          <t>Consolidated rubric score (average of evaluators)</t>
        </is>
      </c>
      <c r="AQ4" s="21" t="n"/>
      <c r="AR4" s="21" t="n"/>
      <c r="AS4" s="21" t="n"/>
      <c r="AT4" s="21" t="n"/>
      <c r="AU4" s="21" t="n"/>
      <c r="AV4" s="21" t="n"/>
      <c r="AW4" s="21" t="n"/>
      <c r="AX4" s="21" t="n"/>
      <c r="AY4" s="16" t="inlineStr">
        <is>
          <t>SDG strength (avg, 0–3)</t>
        </is>
      </c>
      <c r="AZ4" s="21" t="n"/>
      <c r="BA4" s="2" t="inlineStr">
        <is>
          <t>Result</t>
        </is>
      </c>
      <c r="BB4" s="21" t="n"/>
      <c r="BC4" s="21" t="n"/>
      <c r="BD4" s="21" t="n"/>
      <c r="BE4" s="9" t="inlineStr">
        <is>
          <t>Programme Outcome attainment per team (%)</t>
        </is>
      </c>
      <c r="BF4" s="21" t="n"/>
      <c r="BG4" s="21" t="n"/>
      <c r="BH4" s="21" t="n"/>
      <c r="BI4" s="21" t="n"/>
      <c r="BJ4" s="21" t="n"/>
      <c r="BK4" s="21" t="n"/>
      <c r="BL4" s="21" t="n"/>
      <c r="BM4" s="21" t="n"/>
      <c r="BN4" s="21" t="n"/>
      <c r="BO4" s="21" t="n"/>
      <c r="BP4" s="38" t="inlineStr">
        <is>
          <t>PSO attainment (%)</t>
        </is>
      </c>
      <c r="BQ4" s="21" t="n"/>
    </row>
    <row r="5" ht="48" customHeight="1">
      <c r="A5" s="9" t="inlineStr">
        <is>
          <t>S.No</t>
        </is>
      </c>
      <c r="B5" s="9" t="inlineStr">
        <is>
          <t>Section</t>
        </is>
      </c>
      <c r="C5" s="9" t="inlineStr">
        <is>
          <t>Team ID</t>
        </is>
      </c>
      <c r="D5" s="9" t="inlineStr">
        <is>
          <t>Team Name</t>
        </is>
      </c>
      <c r="E5" s="9" t="inlineStr">
        <is>
          <t>Team Members (USN / Name)</t>
        </is>
      </c>
      <c r="F5" s="9" t="inlineStr">
        <is>
          <t>Primary SDG</t>
        </is>
      </c>
      <c r="G5" s="9" t="inlineStr">
        <is>
          <t>Secondary SDG (optional)</t>
        </is>
      </c>
      <c r="H5" s="9" t="inlineStr">
        <is>
          <t>Problem Statement / Project Title</t>
        </is>
      </c>
      <c r="I5" s="47">
        <f>Rubric!C4</f>
        <v/>
      </c>
      <c r="J5" s="47">
        <f>Rubric!C5</f>
        <v/>
      </c>
      <c r="K5" s="47">
        <f>Rubric!C6</f>
        <v/>
      </c>
      <c r="L5" s="47">
        <f>Rubric!C7</f>
        <v/>
      </c>
      <c r="M5" s="47">
        <f>Rubric!C8</f>
        <v/>
      </c>
      <c r="N5" s="47">
        <f>Rubric!C9</f>
        <v/>
      </c>
      <c r="O5" s="47">
        <f>Rubric!C10</f>
        <v/>
      </c>
      <c r="P5" s="47">
        <f>Rubric!C11</f>
        <v/>
      </c>
      <c r="Q5" s="47">
        <f>Rubric!C12</f>
        <v/>
      </c>
      <c r="R5" s="48" t="inlineStr">
        <is>
          <t>Primary SDG strength</t>
        </is>
      </c>
      <c r="S5" s="48" t="inlineStr">
        <is>
          <t>Secondary SDG strength</t>
        </is>
      </c>
      <c r="T5" s="49">
        <f>Rubric!C4</f>
        <v/>
      </c>
      <c r="U5" s="49">
        <f>Rubric!C5</f>
        <v/>
      </c>
      <c r="V5" s="49">
        <f>Rubric!C6</f>
        <v/>
      </c>
      <c r="W5" s="49">
        <f>Rubric!C7</f>
        <v/>
      </c>
      <c r="X5" s="49">
        <f>Rubric!C8</f>
        <v/>
      </c>
      <c r="Y5" s="49">
        <f>Rubric!C9</f>
        <v/>
      </c>
      <c r="Z5" s="49">
        <f>Rubric!C10</f>
        <v/>
      </c>
      <c r="AA5" s="49">
        <f>Rubric!C11</f>
        <v/>
      </c>
      <c r="AB5" s="49">
        <f>Rubric!C12</f>
        <v/>
      </c>
      <c r="AC5" s="48" t="inlineStr">
        <is>
          <t>Primary SDG strength</t>
        </is>
      </c>
      <c r="AD5" s="48" t="inlineStr">
        <is>
          <t>Secondary SDG strength</t>
        </is>
      </c>
      <c r="AE5" s="50">
        <f>Rubric!C4</f>
        <v/>
      </c>
      <c r="AF5" s="50">
        <f>Rubric!C5</f>
        <v/>
      </c>
      <c r="AG5" s="50">
        <f>Rubric!C6</f>
        <v/>
      </c>
      <c r="AH5" s="50">
        <f>Rubric!C7</f>
        <v/>
      </c>
      <c r="AI5" s="50">
        <f>Rubric!C8</f>
        <v/>
      </c>
      <c r="AJ5" s="50">
        <f>Rubric!C9</f>
        <v/>
      </c>
      <c r="AK5" s="50">
        <f>Rubric!C10</f>
        <v/>
      </c>
      <c r="AL5" s="50">
        <f>Rubric!C11</f>
        <v/>
      </c>
      <c r="AM5" s="50">
        <f>Rubric!C12</f>
        <v/>
      </c>
      <c r="AN5" s="48" t="inlineStr">
        <is>
          <t>Primary SDG strength</t>
        </is>
      </c>
      <c r="AO5" s="48" t="inlineStr">
        <is>
          <t>Secondary SDG strength</t>
        </is>
      </c>
      <c r="AP5" s="51">
        <f>Rubric!C4</f>
        <v/>
      </c>
      <c r="AQ5" s="51">
        <f>Rubric!C5</f>
        <v/>
      </c>
      <c r="AR5" s="51">
        <f>Rubric!C6</f>
        <v/>
      </c>
      <c r="AS5" s="51">
        <f>Rubric!C7</f>
        <v/>
      </c>
      <c r="AT5" s="51">
        <f>Rubric!C8</f>
        <v/>
      </c>
      <c r="AU5" s="51">
        <f>Rubric!C9</f>
        <v/>
      </c>
      <c r="AV5" s="51">
        <f>Rubric!C10</f>
        <v/>
      </c>
      <c r="AW5" s="51">
        <f>Rubric!C11</f>
        <v/>
      </c>
      <c r="AX5" s="51">
        <f>Rubric!C12</f>
        <v/>
      </c>
      <c r="AY5" s="48" t="inlineStr">
        <is>
          <t>Primary SDG strength</t>
        </is>
      </c>
      <c r="AZ5" s="48" t="inlineStr">
        <is>
          <t>Secondary SDG strength</t>
        </is>
      </c>
      <c r="BA5" s="7" t="inlineStr">
        <is>
          <t>Total</t>
        </is>
      </c>
      <c r="BB5" s="7" t="inlineStr">
        <is>
          <t>Score %</t>
        </is>
      </c>
      <c r="BC5" s="7" t="inlineStr">
        <is>
          <t>Rank</t>
        </is>
      </c>
      <c r="BD5" s="7" t="inlineStr">
        <is>
          <t>Status</t>
        </is>
      </c>
      <c r="BE5" s="10" t="inlineStr">
        <is>
          <t>PO1</t>
        </is>
      </c>
      <c r="BF5" s="10" t="inlineStr">
        <is>
          <t>PO2</t>
        </is>
      </c>
      <c r="BG5" s="10" t="inlineStr">
        <is>
          <t>PO3</t>
        </is>
      </c>
      <c r="BH5" s="10" t="inlineStr">
        <is>
          <t>PO4</t>
        </is>
      </c>
      <c r="BI5" s="10" t="inlineStr">
        <is>
          <t>PO5</t>
        </is>
      </c>
      <c r="BJ5" s="10" t="inlineStr">
        <is>
          <t>PO6</t>
        </is>
      </c>
      <c r="BK5" s="10" t="inlineStr">
        <is>
          <t>PO7</t>
        </is>
      </c>
      <c r="BL5" s="10" t="inlineStr">
        <is>
          <t>PO8</t>
        </is>
      </c>
      <c r="BM5" s="10" t="inlineStr">
        <is>
          <t>PO9</t>
        </is>
      </c>
      <c r="BN5" s="10" t="inlineStr">
        <is>
          <t>PO10</t>
        </is>
      </c>
      <c r="BO5" s="10" t="inlineStr">
        <is>
          <t>PO11</t>
        </is>
      </c>
      <c r="BP5" s="10" t="inlineStr">
        <is>
          <t>PSO1</t>
        </is>
      </c>
      <c r="BQ5" s="10" t="inlineStr">
        <is>
          <t>PSO2</t>
        </is>
      </c>
    </row>
    <row r="6">
      <c r="A6" s="21" t="n"/>
      <c r="B6" s="21" t="n"/>
      <c r="C6" s="21" t="n"/>
      <c r="D6" s="21" t="n"/>
      <c r="E6" s="21" t="n"/>
      <c r="F6" s="21" t="n"/>
      <c r="G6" s="21" t="n"/>
      <c r="H6" s="21" t="n"/>
      <c r="I6" s="52">
        <f>Rubric!D4</f>
        <v/>
      </c>
      <c r="J6" s="52">
        <f>Rubric!D5</f>
        <v/>
      </c>
      <c r="K6" s="52">
        <f>Rubric!D6</f>
        <v/>
      </c>
      <c r="L6" s="52">
        <f>Rubric!D7</f>
        <v/>
      </c>
      <c r="M6" s="52">
        <f>Rubric!D8</f>
        <v/>
      </c>
      <c r="N6" s="52">
        <f>Rubric!D9</f>
        <v/>
      </c>
      <c r="O6" s="52">
        <f>Rubric!D10</f>
        <v/>
      </c>
      <c r="P6" s="52">
        <f>Rubric!D11</f>
        <v/>
      </c>
      <c r="Q6" s="52">
        <f>Rubric!D12</f>
        <v/>
      </c>
      <c r="R6" s="53" t="inlineStr">
        <is>
          <t>0–3</t>
        </is>
      </c>
      <c r="S6" s="53" t="inlineStr">
        <is>
          <t>0–3</t>
        </is>
      </c>
      <c r="T6" s="54">
        <f>Rubric!D4</f>
        <v/>
      </c>
      <c r="U6" s="54">
        <f>Rubric!D5</f>
        <v/>
      </c>
      <c r="V6" s="54">
        <f>Rubric!D6</f>
        <v/>
      </c>
      <c r="W6" s="54">
        <f>Rubric!D7</f>
        <v/>
      </c>
      <c r="X6" s="54">
        <f>Rubric!D8</f>
        <v/>
      </c>
      <c r="Y6" s="54">
        <f>Rubric!D9</f>
        <v/>
      </c>
      <c r="Z6" s="54">
        <f>Rubric!D10</f>
        <v/>
      </c>
      <c r="AA6" s="54">
        <f>Rubric!D11</f>
        <v/>
      </c>
      <c r="AB6" s="54">
        <f>Rubric!D12</f>
        <v/>
      </c>
      <c r="AC6" s="53" t="inlineStr">
        <is>
          <t>0–3</t>
        </is>
      </c>
      <c r="AD6" s="53" t="inlineStr">
        <is>
          <t>0–3</t>
        </is>
      </c>
      <c r="AE6" s="55">
        <f>Rubric!D4</f>
        <v/>
      </c>
      <c r="AF6" s="55">
        <f>Rubric!D5</f>
        <v/>
      </c>
      <c r="AG6" s="55">
        <f>Rubric!D6</f>
        <v/>
      </c>
      <c r="AH6" s="55">
        <f>Rubric!D7</f>
        <v/>
      </c>
      <c r="AI6" s="55">
        <f>Rubric!D8</f>
        <v/>
      </c>
      <c r="AJ6" s="55">
        <f>Rubric!D9</f>
        <v/>
      </c>
      <c r="AK6" s="55">
        <f>Rubric!D10</f>
        <v/>
      </c>
      <c r="AL6" s="55">
        <f>Rubric!D11</f>
        <v/>
      </c>
      <c r="AM6" s="55">
        <f>Rubric!D12</f>
        <v/>
      </c>
      <c r="AN6" s="53" t="inlineStr">
        <is>
          <t>0–3</t>
        </is>
      </c>
      <c r="AO6" s="53" t="inlineStr">
        <is>
          <t>0–3</t>
        </is>
      </c>
      <c r="AP6" s="56">
        <f>Rubric!D4</f>
        <v/>
      </c>
      <c r="AQ6" s="56">
        <f>Rubric!D5</f>
        <v/>
      </c>
      <c r="AR6" s="56">
        <f>Rubric!D6</f>
        <v/>
      </c>
      <c r="AS6" s="56">
        <f>Rubric!D7</f>
        <v/>
      </c>
      <c r="AT6" s="56">
        <f>Rubric!D8</f>
        <v/>
      </c>
      <c r="AU6" s="56">
        <f>Rubric!D9</f>
        <v/>
      </c>
      <c r="AV6" s="56">
        <f>Rubric!D10</f>
        <v/>
      </c>
      <c r="AW6" s="56">
        <f>Rubric!D11</f>
        <v/>
      </c>
      <c r="AX6" s="56">
        <f>Rubric!D12</f>
        <v/>
      </c>
      <c r="AY6" s="53" t="inlineStr">
        <is>
          <t>0–3</t>
        </is>
      </c>
      <c r="AZ6" s="53" t="inlineStr">
        <is>
          <t>0–3</t>
        </is>
      </c>
      <c r="BA6" s="7">
        <f>Rubric!$D$13</f>
        <v/>
      </c>
      <c r="BB6" s="57" t="inlineStr"/>
      <c r="BC6" s="57" t="inlineStr"/>
      <c r="BD6" s="57" t="inlineStr"/>
      <c r="BE6" s="58" t="inlineStr">
        <is>
          <t>%</t>
        </is>
      </c>
      <c r="BF6" s="58" t="inlineStr">
        <is>
          <t>%</t>
        </is>
      </c>
      <c r="BG6" s="58" t="inlineStr">
        <is>
          <t>%</t>
        </is>
      </c>
      <c r="BH6" s="58" t="inlineStr">
        <is>
          <t>%</t>
        </is>
      </c>
      <c r="BI6" s="58" t="inlineStr">
        <is>
          <t>%</t>
        </is>
      </c>
      <c r="BJ6" s="58" t="inlineStr">
        <is>
          <t>%</t>
        </is>
      </c>
      <c r="BK6" s="58" t="inlineStr">
        <is>
          <t>%</t>
        </is>
      </c>
      <c r="BL6" s="58" t="inlineStr">
        <is>
          <t>%</t>
        </is>
      </c>
      <c r="BM6" s="58" t="inlineStr">
        <is>
          <t>%</t>
        </is>
      </c>
      <c r="BN6" s="58" t="inlineStr">
        <is>
          <t>%</t>
        </is>
      </c>
      <c r="BO6" s="58" t="inlineStr">
        <is>
          <t>%</t>
        </is>
      </c>
      <c r="BP6" s="58" t="inlineStr">
        <is>
          <t>%</t>
        </is>
      </c>
      <c r="BQ6" s="58" t="inlineStr">
        <is>
          <t>%</t>
        </is>
      </c>
    </row>
    <row r="7" ht="30" customHeight="1">
      <c r="A7" s="28" t="n">
        <v>1</v>
      </c>
      <c r="B7" s="29" t="inlineStr">
        <is>
          <t>3rd Sem - B</t>
        </is>
      </c>
      <c r="C7" s="29" t="n"/>
      <c r="D7" s="6" t="n"/>
      <c r="E7" s="6" t="n"/>
      <c r="F7" s="29" t="n"/>
      <c r="G7" s="29" t="n"/>
      <c r="H7" s="6" t="n"/>
      <c r="I7" s="29" t="n"/>
      <c r="J7" s="29" t="n"/>
      <c r="K7" s="29" t="n"/>
      <c r="L7" s="29" t="n"/>
      <c r="M7" s="29" t="n"/>
      <c r="N7" s="29" t="n"/>
      <c r="O7" s="29" t="n"/>
      <c r="P7" s="29" t="n"/>
      <c r="Q7" s="29" t="n"/>
      <c r="R7" s="29" t="n"/>
      <c r="S7" s="29" t="n"/>
      <c r="T7" s="29" t="n"/>
      <c r="U7" s="29" t="n"/>
      <c r="V7" s="29" t="n"/>
      <c r="W7" s="29" t="n"/>
      <c r="X7" s="29" t="n"/>
      <c r="Y7" s="29" t="n"/>
      <c r="Z7" s="29" t="n"/>
      <c r="AA7" s="29" t="n"/>
      <c r="AB7" s="29" t="n"/>
      <c r="AC7" s="29" t="n"/>
      <c r="AD7" s="29" t="n"/>
      <c r="AE7" s="29" t="n"/>
      <c r="AF7" s="29" t="n"/>
      <c r="AG7" s="29" t="n"/>
      <c r="AH7" s="29" t="n"/>
      <c r="AI7" s="29" t="n"/>
      <c r="AJ7" s="29" t="n"/>
      <c r="AK7" s="29" t="n"/>
      <c r="AL7" s="29" t="n"/>
      <c r="AM7" s="29" t="n"/>
      <c r="AN7" s="29" t="n"/>
      <c r="AO7" s="29" t="n"/>
      <c r="AP7" s="59">
        <f>IF(COUNT(I7,T7,AE7)=0,"",AVERAGE(I7,T7,AE7))</f>
        <v/>
      </c>
      <c r="AQ7" s="59">
        <f>IF(COUNT(J7,U7,AF7)=0,"",AVERAGE(J7,U7,AF7))</f>
        <v/>
      </c>
      <c r="AR7" s="59">
        <f>IF(COUNT(K7,V7,AG7)=0,"",AVERAGE(K7,V7,AG7))</f>
        <v/>
      </c>
      <c r="AS7" s="59">
        <f>IF(COUNT(L7,W7,AH7)=0,"",AVERAGE(L7,W7,AH7))</f>
        <v/>
      </c>
      <c r="AT7" s="59">
        <f>IF(COUNT(M7,X7,AI7)=0,"",AVERAGE(M7,X7,AI7))</f>
        <v/>
      </c>
      <c r="AU7" s="59">
        <f>IF(COUNT(N7,Y7,AJ7)=0,"",AVERAGE(N7,Y7,AJ7))</f>
        <v/>
      </c>
      <c r="AV7" s="59">
        <f>IF(COUNT(O7,Z7,AK7)=0,"",AVERAGE(O7,Z7,AK7))</f>
        <v/>
      </c>
      <c r="AW7" s="59">
        <f>IF(COUNT(P7,AA7,AL7)=0,"",AVERAGE(P7,AA7,AL7))</f>
        <v/>
      </c>
      <c r="AX7" s="59">
        <f>IF(COUNT(Q7,AB7,AM7)=0,"",AVERAGE(Q7,AB7,AM7))</f>
        <v/>
      </c>
      <c r="AY7" s="60">
        <f>IF(OR($F7="",COUNT(R7,AC7,AN7)=0),"",AVERAGE(R7,AC7,AN7))</f>
        <v/>
      </c>
      <c r="AZ7" s="60">
        <f>IF(OR($G7="",$G7=$F7,COUNT(S7,AD7,AO7)=0),"",AVERAGE(S7,AD7,AO7))</f>
        <v/>
      </c>
      <c r="BA7" s="61">
        <f>IF(COUNT(AP7:AX7)=0,"",SUM(AP7:AX7))</f>
        <v/>
      </c>
      <c r="BB7" s="62">
        <f>IF(BA7="","",BA7/BA$6)</f>
        <v/>
      </c>
      <c r="BC7" s="14">
        <f>IF(BR7="","",COUNTIF($BR$7:$BR$26,"&gt;"&amp;BR7)+COUNTIF($BR$7:BR7,BR7))</f>
        <v/>
      </c>
      <c r="BD7" s="63">
        <f>IF(BC7="","",IF(BC7&lt;=Mapping!$C$11,"Shortlisted","Not shortlisted"))</f>
        <v/>
      </c>
      <c r="BE7" s="64">
        <f>IFERROR((AP7/AP$6*Mapping!$D$15+AQ7/AQ$6*Mapping!$D$16+AR7/AR$6*Mapping!$D$17+AS7/AS$6*Mapping!$D$18+AT7/AT$6*Mapping!$D$19+AU7/AU$6*Mapping!$D$20+AV7/AV$6*Mapping!$D$21+AW7/AW$6*Mapping!$D$22+AX7/AX$6*Mapping!$D$23)/SUM(Mapping!$D$15:$D$23),"")</f>
        <v/>
      </c>
      <c r="BF7" s="64">
        <f>IFERROR((AP7/AP$6*Mapping!$E$15+AQ7/AQ$6*Mapping!$E$16+AR7/AR$6*Mapping!$E$17+AS7/AS$6*Mapping!$E$18+AT7/AT$6*Mapping!$E$19+AU7/AU$6*Mapping!$E$20+AV7/AV$6*Mapping!$E$21+AW7/AW$6*Mapping!$E$22+AX7/AX$6*Mapping!$E$23)/SUM(Mapping!$E$15:$E$23),"")</f>
        <v/>
      </c>
      <c r="BG7" s="64">
        <f>IFERROR((AP7/AP$6*Mapping!$F$15+AQ7/AQ$6*Mapping!$F$16+AR7/AR$6*Mapping!$F$17+AS7/AS$6*Mapping!$F$18+AT7/AT$6*Mapping!$F$19+AU7/AU$6*Mapping!$F$20+AV7/AV$6*Mapping!$F$21+AW7/AW$6*Mapping!$F$22+AX7/AX$6*Mapping!$F$23)/SUM(Mapping!$F$15:$F$23),"")</f>
        <v/>
      </c>
      <c r="BH7" s="64">
        <f>IFERROR((AP7/AP$6*Mapping!$G$15+AQ7/AQ$6*Mapping!$G$16+AR7/AR$6*Mapping!$G$17+AS7/AS$6*Mapping!$G$18+AT7/AT$6*Mapping!$G$19+AU7/AU$6*Mapping!$G$20+AV7/AV$6*Mapping!$G$21+AW7/AW$6*Mapping!$G$22+AX7/AX$6*Mapping!$G$23)/SUM(Mapping!$G$15:$G$23),"")</f>
        <v/>
      </c>
      <c r="BI7" s="64">
        <f>IFERROR((AP7/AP$6*Mapping!$H$15+AQ7/AQ$6*Mapping!$H$16+AR7/AR$6*Mapping!$H$17+AS7/AS$6*Mapping!$H$18+AT7/AT$6*Mapping!$H$19+AU7/AU$6*Mapping!$H$20+AV7/AV$6*Mapping!$H$21+AW7/AW$6*Mapping!$H$22+AX7/AX$6*Mapping!$H$23)/SUM(Mapping!$H$15:$H$23),"")</f>
        <v/>
      </c>
      <c r="BJ7" s="64">
        <f>IFERROR((AP7/AP$6*Mapping!$I$15+AQ7/AQ$6*Mapping!$I$16+AR7/AR$6*Mapping!$I$17+AS7/AS$6*Mapping!$I$18+AT7/AT$6*Mapping!$I$19+AU7/AU$6*Mapping!$I$20+AV7/AV$6*Mapping!$I$21+AW7/AW$6*Mapping!$I$22+AX7/AX$6*Mapping!$I$23)/SUM(Mapping!$I$15:$I$23),"")</f>
        <v/>
      </c>
      <c r="BK7" s="64">
        <f>IFERROR((AP7/AP$6*Mapping!$J$15+AQ7/AQ$6*Mapping!$J$16+AR7/AR$6*Mapping!$J$17+AS7/AS$6*Mapping!$J$18+AT7/AT$6*Mapping!$J$19+AU7/AU$6*Mapping!$J$20+AV7/AV$6*Mapping!$J$21+AW7/AW$6*Mapping!$J$22+AX7/AX$6*Mapping!$J$23)/SUM(Mapping!$J$15:$J$23),"")</f>
        <v/>
      </c>
      <c r="BL7" s="64">
        <f>IFERROR((AP7/AP$6*Mapping!$K$15+AQ7/AQ$6*Mapping!$K$16+AR7/AR$6*Mapping!$K$17+AS7/AS$6*Mapping!$K$18+AT7/AT$6*Mapping!$K$19+AU7/AU$6*Mapping!$K$20+AV7/AV$6*Mapping!$K$21+AW7/AW$6*Mapping!$K$22+AX7/AX$6*Mapping!$K$23)/SUM(Mapping!$K$15:$K$23),"")</f>
        <v/>
      </c>
      <c r="BM7" s="64">
        <f>IFERROR((AP7/AP$6*Mapping!$L$15+AQ7/AQ$6*Mapping!$L$16+AR7/AR$6*Mapping!$L$17+AS7/AS$6*Mapping!$L$18+AT7/AT$6*Mapping!$L$19+AU7/AU$6*Mapping!$L$20+AV7/AV$6*Mapping!$L$21+AW7/AW$6*Mapping!$L$22+AX7/AX$6*Mapping!$L$23)/SUM(Mapping!$L$15:$L$23),"")</f>
        <v/>
      </c>
      <c r="BN7" s="64">
        <f>IFERROR((AP7/AP$6*Mapping!$M$15+AQ7/AQ$6*Mapping!$M$16+AR7/AR$6*Mapping!$M$17+AS7/AS$6*Mapping!$M$18+AT7/AT$6*Mapping!$M$19+AU7/AU$6*Mapping!$M$20+AV7/AV$6*Mapping!$M$21+AW7/AW$6*Mapping!$M$22+AX7/AX$6*Mapping!$M$23)/SUM(Mapping!$M$15:$M$23),"")</f>
        <v/>
      </c>
      <c r="BO7" s="64">
        <f>IFERROR((AP7/AP$6*Mapping!$N$15+AQ7/AQ$6*Mapping!$N$16+AR7/AR$6*Mapping!$N$17+AS7/AS$6*Mapping!$N$18+AT7/AT$6*Mapping!$N$19+AU7/AU$6*Mapping!$N$20+AV7/AV$6*Mapping!$N$21+AW7/AW$6*Mapping!$N$22+AX7/AX$6*Mapping!$N$23)/SUM(Mapping!$N$15:$N$23),"")</f>
        <v/>
      </c>
      <c r="BP7" s="64">
        <f>IFERROR((AP7/AP$6*Mapping!$O$15+AQ7/AQ$6*Mapping!$O$16+AR7/AR$6*Mapping!$O$17+AS7/AS$6*Mapping!$O$18+AT7/AT$6*Mapping!$O$19+AU7/AU$6*Mapping!$O$20+AV7/AV$6*Mapping!$O$21+AW7/AW$6*Mapping!$O$22+AX7/AX$6*Mapping!$O$23)/SUM(Mapping!$O$15:$O$23),"")</f>
        <v/>
      </c>
      <c r="BQ7" s="64">
        <f>IFERROR((AP7/AP$6*Mapping!$P$15+AQ7/AQ$6*Mapping!$P$16+AR7/AR$6*Mapping!$P$17+AS7/AS$6*Mapping!$P$18+AT7/AT$6*Mapping!$P$19+AU7/AU$6*Mapping!$P$20+AV7/AV$6*Mapping!$P$21+AW7/AW$6*Mapping!$P$22+AX7/AX$6*Mapping!$P$23)/SUM(Mapping!$P$15:$P$23),"")</f>
        <v/>
      </c>
      <c r="BR7" s="65">
        <f>IF(BA7="","",BA7+N(AS7)/10000)</f>
        <v/>
      </c>
    </row>
    <row r="8" ht="30" customHeight="1">
      <c r="A8" s="28" t="n">
        <v>2</v>
      </c>
      <c r="B8" s="29" t="inlineStr">
        <is>
          <t>3rd Sem - B</t>
        </is>
      </c>
      <c r="C8" s="29" t="n"/>
      <c r="D8" s="6" t="n"/>
      <c r="E8" s="6" t="n"/>
      <c r="F8" s="29" t="n"/>
      <c r="G8" s="29" t="n"/>
      <c r="H8" s="6" t="n"/>
      <c r="I8" s="29" t="n"/>
      <c r="J8" s="29" t="n"/>
      <c r="K8" s="29" t="n"/>
      <c r="L8" s="29" t="n"/>
      <c r="M8" s="29" t="n"/>
      <c r="N8" s="29" t="n"/>
      <c r="O8" s="29" t="n"/>
      <c r="P8" s="29" t="n"/>
      <c r="Q8" s="29" t="n"/>
      <c r="R8" s="29" t="n"/>
      <c r="S8" s="29" t="n"/>
      <c r="T8" s="29" t="n"/>
      <c r="U8" s="29" t="n"/>
      <c r="V8" s="29" t="n"/>
      <c r="W8" s="29" t="n"/>
      <c r="X8" s="29" t="n"/>
      <c r="Y8" s="29" t="n"/>
      <c r="Z8" s="29" t="n"/>
      <c r="AA8" s="29" t="n"/>
      <c r="AB8" s="29" t="n"/>
      <c r="AC8" s="29" t="n"/>
      <c r="AD8" s="29" t="n"/>
      <c r="AE8" s="29" t="n"/>
      <c r="AF8" s="29" t="n"/>
      <c r="AG8" s="29" t="n"/>
      <c r="AH8" s="29" t="n"/>
      <c r="AI8" s="29" t="n"/>
      <c r="AJ8" s="29" t="n"/>
      <c r="AK8" s="29" t="n"/>
      <c r="AL8" s="29" t="n"/>
      <c r="AM8" s="29" t="n"/>
      <c r="AN8" s="29" t="n"/>
      <c r="AO8" s="29" t="n"/>
      <c r="AP8" s="59">
        <f>IF(COUNT(I8,T8,AE8)=0,"",AVERAGE(I8,T8,AE8))</f>
        <v/>
      </c>
      <c r="AQ8" s="59">
        <f>IF(COUNT(J8,U8,AF8)=0,"",AVERAGE(J8,U8,AF8))</f>
        <v/>
      </c>
      <c r="AR8" s="59">
        <f>IF(COUNT(K8,V8,AG8)=0,"",AVERAGE(K8,V8,AG8))</f>
        <v/>
      </c>
      <c r="AS8" s="59">
        <f>IF(COUNT(L8,W8,AH8)=0,"",AVERAGE(L8,W8,AH8))</f>
        <v/>
      </c>
      <c r="AT8" s="59">
        <f>IF(COUNT(M8,X8,AI8)=0,"",AVERAGE(M8,X8,AI8))</f>
        <v/>
      </c>
      <c r="AU8" s="59">
        <f>IF(COUNT(N8,Y8,AJ8)=0,"",AVERAGE(N8,Y8,AJ8))</f>
        <v/>
      </c>
      <c r="AV8" s="59">
        <f>IF(COUNT(O8,Z8,AK8)=0,"",AVERAGE(O8,Z8,AK8))</f>
        <v/>
      </c>
      <c r="AW8" s="59">
        <f>IF(COUNT(P8,AA8,AL8)=0,"",AVERAGE(P8,AA8,AL8))</f>
        <v/>
      </c>
      <c r="AX8" s="59">
        <f>IF(COUNT(Q8,AB8,AM8)=0,"",AVERAGE(Q8,AB8,AM8))</f>
        <v/>
      </c>
      <c r="AY8" s="60">
        <f>IF(OR($F8="",COUNT(R8,AC8,AN8)=0),"",AVERAGE(R8,AC8,AN8))</f>
        <v/>
      </c>
      <c r="AZ8" s="60">
        <f>IF(OR($G8="",$G8=$F8,COUNT(S8,AD8,AO8)=0),"",AVERAGE(S8,AD8,AO8))</f>
        <v/>
      </c>
      <c r="BA8" s="61">
        <f>IF(COUNT(AP8:AX8)=0,"",SUM(AP8:AX8))</f>
        <v/>
      </c>
      <c r="BB8" s="62">
        <f>IF(BA8="","",BA8/BA$6)</f>
        <v/>
      </c>
      <c r="BC8" s="14">
        <f>IF(BR8="","",COUNTIF($BR$7:$BR$26,"&gt;"&amp;BR8)+COUNTIF($BR$7:BR8,BR8))</f>
        <v/>
      </c>
      <c r="BD8" s="63">
        <f>IF(BC8="","",IF(BC8&lt;=Mapping!$C$11,"Shortlisted","Not shortlisted"))</f>
        <v/>
      </c>
      <c r="BE8" s="64">
        <f>IFERROR((AP8/AP$6*Mapping!$D$15+AQ8/AQ$6*Mapping!$D$16+AR8/AR$6*Mapping!$D$17+AS8/AS$6*Mapping!$D$18+AT8/AT$6*Mapping!$D$19+AU8/AU$6*Mapping!$D$20+AV8/AV$6*Mapping!$D$21+AW8/AW$6*Mapping!$D$22+AX8/AX$6*Mapping!$D$23)/SUM(Mapping!$D$15:$D$23),"")</f>
        <v/>
      </c>
      <c r="BF8" s="64">
        <f>IFERROR((AP8/AP$6*Mapping!$E$15+AQ8/AQ$6*Mapping!$E$16+AR8/AR$6*Mapping!$E$17+AS8/AS$6*Mapping!$E$18+AT8/AT$6*Mapping!$E$19+AU8/AU$6*Mapping!$E$20+AV8/AV$6*Mapping!$E$21+AW8/AW$6*Mapping!$E$22+AX8/AX$6*Mapping!$E$23)/SUM(Mapping!$E$15:$E$23),"")</f>
        <v/>
      </c>
      <c r="BG8" s="64">
        <f>IFERROR((AP8/AP$6*Mapping!$F$15+AQ8/AQ$6*Mapping!$F$16+AR8/AR$6*Mapping!$F$17+AS8/AS$6*Mapping!$F$18+AT8/AT$6*Mapping!$F$19+AU8/AU$6*Mapping!$F$20+AV8/AV$6*Mapping!$F$21+AW8/AW$6*Mapping!$F$22+AX8/AX$6*Mapping!$F$23)/SUM(Mapping!$F$15:$F$23),"")</f>
        <v/>
      </c>
      <c r="BH8" s="64">
        <f>IFERROR((AP8/AP$6*Mapping!$G$15+AQ8/AQ$6*Mapping!$G$16+AR8/AR$6*Mapping!$G$17+AS8/AS$6*Mapping!$G$18+AT8/AT$6*Mapping!$G$19+AU8/AU$6*Mapping!$G$20+AV8/AV$6*Mapping!$G$21+AW8/AW$6*Mapping!$G$22+AX8/AX$6*Mapping!$G$23)/SUM(Mapping!$G$15:$G$23),"")</f>
        <v/>
      </c>
      <c r="BI8" s="64">
        <f>IFERROR((AP8/AP$6*Mapping!$H$15+AQ8/AQ$6*Mapping!$H$16+AR8/AR$6*Mapping!$H$17+AS8/AS$6*Mapping!$H$18+AT8/AT$6*Mapping!$H$19+AU8/AU$6*Mapping!$H$20+AV8/AV$6*Mapping!$H$21+AW8/AW$6*Mapping!$H$22+AX8/AX$6*Mapping!$H$23)/SUM(Mapping!$H$15:$H$23),"")</f>
        <v/>
      </c>
      <c r="BJ8" s="64">
        <f>IFERROR((AP8/AP$6*Mapping!$I$15+AQ8/AQ$6*Mapping!$I$16+AR8/AR$6*Mapping!$I$17+AS8/AS$6*Mapping!$I$18+AT8/AT$6*Mapping!$I$19+AU8/AU$6*Mapping!$I$20+AV8/AV$6*Mapping!$I$21+AW8/AW$6*Mapping!$I$22+AX8/AX$6*Mapping!$I$23)/SUM(Mapping!$I$15:$I$23),"")</f>
        <v/>
      </c>
      <c r="BK8" s="64">
        <f>IFERROR((AP8/AP$6*Mapping!$J$15+AQ8/AQ$6*Mapping!$J$16+AR8/AR$6*Mapping!$J$17+AS8/AS$6*Mapping!$J$18+AT8/AT$6*Mapping!$J$19+AU8/AU$6*Mapping!$J$20+AV8/AV$6*Mapping!$J$21+AW8/AW$6*Mapping!$J$22+AX8/AX$6*Mapping!$J$23)/SUM(Mapping!$J$15:$J$23),"")</f>
        <v/>
      </c>
      <c r="BL8" s="64">
        <f>IFERROR((AP8/AP$6*Mapping!$K$15+AQ8/AQ$6*Mapping!$K$16+AR8/AR$6*Mapping!$K$17+AS8/AS$6*Mapping!$K$18+AT8/AT$6*Mapping!$K$19+AU8/AU$6*Mapping!$K$20+AV8/AV$6*Mapping!$K$21+AW8/AW$6*Mapping!$K$22+AX8/AX$6*Mapping!$K$23)/SUM(Mapping!$K$15:$K$23),"")</f>
        <v/>
      </c>
      <c r="BM8" s="64">
        <f>IFERROR((AP8/AP$6*Mapping!$L$15+AQ8/AQ$6*Mapping!$L$16+AR8/AR$6*Mapping!$L$17+AS8/AS$6*Mapping!$L$18+AT8/AT$6*Mapping!$L$19+AU8/AU$6*Mapping!$L$20+AV8/AV$6*Mapping!$L$21+AW8/AW$6*Mapping!$L$22+AX8/AX$6*Mapping!$L$23)/SUM(Mapping!$L$15:$L$23),"")</f>
        <v/>
      </c>
      <c r="BN8" s="64">
        <f>IFERROR((AP8/AP$6*Mapping!$M$15+AQ8/AQ$6*Mapping!$M$16+AR8/AR$6*Mapping!$M$17+AS8/AS$6*Mapping!$M$18+AT8/AT$6*Mapping!$M$19+AU8/AU$6*Mapping!$M$20+AV8/AV$6*Mapping!$M$21+AW8/AW$6*Mapping!$M$22+AX8/AX$6*Mapping!$M$23)/SUM(Mapping!$M$15:$M$23),"")</f>
        <v/>
      </c>
      <c r="BO8" s="64">
        <f>IFERROR((AP8/AP$6*Mapping!$N$15+AQ8/AQ$6*Mapping!$N$16+AR8/AR$6*Mapping!$N$17+AS8/AS$6*Mapping!$N$18+AT8/AT$6*Mapping!$N$19+AU8/AU$6*Mapping!$N$20+AV8/AV$6*Mapping!$N$21+AW8/AW$6*Mapping!$N$22+AX8/AX$6*Mapping!$N$23)/SUM(Mapping!$N$15:$N$23),"")</f>
        <v/>
      </c>
      <c r="BP8" s="64">
        <f>IFERROR((AP8/AP$6*Mapping!$O$15+AQ8/AQ$6*Mapping!$O$16+AR8/AR$6*Mapping!$O$17+AS8/AS$6*Mapping!$O$18+AT8/AT$6*Mapping!$O$19+AU8/AU$6*Mapping!$O$20+AV8/AV$6*Mapping!$O$21+AW8/AW$6*Mapping!$O$22+AX8/AX$6*Mapping!$O$23)/SUM(Mapping!$O$15:$O$23),"")</f>
        <v/>
      </c>
      <c r="BQ8" s="64">
        <f>IFERROR((AP8/AP$6*Mapping!$P$15+AQ8/AQ$6*Mapping!$P$16+AR8/AR$6*Mapping!$P$17+AS8/AS$6*Mapping!$P$18+AT8/AT$6*Mapping!$P$19+AU8/AU$6*Mapping!$P$20+AV8/AV$6*Mapping!$P$21+AW8/AW$6*Mapping!$P$22+AX8/AX$6*Mapping!$P$23)/SUM(Mapping!$P$15:$P$23),"")</f>
        <v/>
      </c>
      <c r="BR8" s="65">
        <f>IF(BA8="","",BA8+N(AS8)/10000)</f>
        <v/>
      </c>
    </row>
    <row r="9" ht="30" customHeight="1">
      <c r="A9" s="28" t="n">
        <v>3</v>
      </c>
      <c r="B9" s="29" t="inlineStr">
        <is>
          <t>3rd Sem - B</t>
        </is>
      </c>
      <c r="C9" s="29" t="n"/>
      <c r="D9" s="6" t="n"/>
      <c r="E9" s="6" t="n"/>
      <c r="F9" s="29" t="n"/>
      <c r="G9" s="29" t="n"/>
      <c r="H9" s="6" t="n"/>
      <c r="I9" s="29" t="n"/>
      <c r="J9" s="29" t="n"/>
      <c r="K9" s="29" t="n"/>
      <c r="L9" s="29" t="n"/>
      <c r="M9" s="29" t="n"/>
      <c r="N9" s="29" t="n"/>
      <c r="O9" s="29" t="n"/>
      <c r="P9" s="29" t="n"/>
      <c r="Q9" s="29" t="n"/>
      <c r="R9" s="29" t="n"/>
      <c r="S9" s="29" t="n"/>
      <c r="T9" s="29" t="n"/>
      <c r="U9" s="29" t="n"/>
      <c r="V9" s="29" t="n"/>
      <c r="W9" s="29" t="n"/>
      <c r="X9" s="29" t="n"/>
      <c r="Y9" s="29" t="n"/>
      <c r="Z9" s="29" t="n"/>
      <c r="AA9" s="29" t="n"/>
      <c r="AB9" s="29" t="n"/>
      <c r="AC9" s="29" t="n"/>
      <c r="AD9" s="29" t="n"/>
      <c r="AE9" s="29" t="n"/>
      <c r="AF9" s="29" t="n"/>
      <c r="AG9" s="29" t="n"/>
      <c r="AH9" s="29" t="n"/>
      <c r="AI9" s="29" t="n"/>
      <c r="AJ9" s="29" t="n"/>
      <c r="AK9" s="29" t="n"/>
      <c r="AL9" s="29" t="n"/>
      <c r="AM9" s="29" t="n"/>
      <c r="AN9" s="29" t="n"/>
      <c r="AO9" s="29" t="n"/>
      <c r="AP9" s="59">
        <f>IF(COUNT(I9,T9,AE9)=0,"",AVERAGE(I9,T9,AE9))</f>
        <v/>
      </c>
      <c r="AQ9" s="59">
        <f>IF(COUNT(J9,U9,AF9)=0,"",AVERAGE(J9,U9,AF9))</f>
        <v/>
      </c>
      <c r="AR9" s="59">
        <f>IF(COUNT(K9,V9,AG9)=0,"",AVERAGE(K9,V9,AG9))</f>
        <v/>
      </c>
      <c r="AS9" s="59">
        <f>IF(COUNT(L9,W9,AH9)=0,"",AVERAGE(L9,W9,AH9))</f>
        <v/>
      </c>
      <c r="AT9" s="59">
        <f>IF(COUNT(M9,X9,AI9)=0,"",AVERAGE(M9,X9,AI9))</f>
        <v/>
      </c>
      <c r="AU9" s="59">
        <f>IF(COUNT(N9,Y9,AJ9)=0,"",AVERAGE(N9,Y9,AJ9))</f>
        <v/>
      </c>
      <c r="AV9" s="59">
        <f>IF(COUNT(O9,Z9,AK9)=0,"",AVERAGE(O9,Z9,AK9))</f>
        <v/>
      </c>
      <c r="AW9" s="59">
        <f>IF(COUNT(P9,AA9,AL9)=0,"",AVERAGE(P9,AA9,AL9))</f>
        <v/>
      </c>
      <c r="AX9" s="59">
        <f>IF(COUNT(Q9,AB9,AM9)=0,"",AVERAGE(Q9,AB9,AM9))</f>
        <v/>
      </c>
      <c r="AY9" s="60">
        <f>IF(OR($F9="",COUNT(R9,AC9,AN9)=0),"",AVERAGE(R9,AC9,AN9))</f>
        <v/>
      </c>
      <c r="AZ9" s="60">
        <f>IF(OR($G9="",$G9=$F9,COUNT(S9,AD9,AO9)=0),"",AVERAGE(S9,AD9,AO9))</f>
        <v/>
      </c>
      <c r="BA9" s="61">
        <f>IF(COUNT(AP9:AX9)=0,"",SUM(AP9:AX9))</f>
        <v/>
      </c>
      <c r="BB9" s="62">
        <f>IF(BA9="","",BA9/BA$6)</f>
        <v/>
      </c>
      <c r="BC9" s="14">
        <f>IF(BR9="","",COUNTIF($BR$7:$BR$26,"&gt;"&amp;BR9)+COUNTIF($BR$7:BR9,BR9))</f>
        <v/>
      </c>
      <c r="BD9" s="63">
        <f>IF(BC9="","",IF(BC9&lt;=Mapping!$C$11,"Shortlisted","Not shortlisted"))</f>
        <v/>
      </c>
      <c r="BE9" s="64">
        <f>IFERROR((AP9/AP$6*Mapping!$D$15+AQ9/AQ$6*Mapping!$D$16+AR9/AR$6*Mapping!$D$17+AS9/AS$6*Mapping!$D$18+AT9/AT$6*Mapping!$D$19+AU9/AU$6*Mapping!$D$20+AV9/AV$6*Mapping!$D$21+AW9/AW$6*Mapping!$D$22+AX9/AX$6*Mapping!$D$23)/SUM(Mapping!$D$15:$D$23),"")</f>
        <v/>
      </c>
      <c r="BF9" s="64">
        <f>IFERROR((AP9/AP$6*Mapping!$E$15+AQ9/AQ$6*Mapping!$E$16+AR9/AR$6*Mapping!$E$17+AS9/AS$6*Mapping!$E$18+AT9/AT$6*Mapping!$E$19+AU9/AU$6*Mapping!$E$20+AV9/AV$6*Mapping!$E$21+AW9/AW$6*Mapping!$E$22+AX9/AX$6*Mapping!$E$23)/SUM(Mapping!$E$15:$E$23),"")</f>
        <v/>
      </c>
      <c r="BG9" s="64">
        <f>IFERROR((AP9/AP$6*Mapping!$F$15+AQ9/AQ$6*Mapping!$F$16+AR9/AR$6*Mapping!$F$17+AS9/AS$6*Mapping!$F$18+AT9/AT$6*Mapping!$F$19+AU9/AU$6*Mapping!$F$20+AV9/AV$6*Mapping!$F$21+AW9/AW$6*Mapping!$F$22+AX9/AX$6*Mapping!$F$23)/SUM(Mapping!$F$15:$F$23),"")</f>
        <v/>
      </c>
      <c r="BH9" s="64">
        <f>IFERROR((AP9/AP$6*Mapping!$G$15+AQ9/AQ$6*Mapping!$G$16+AR9/AR$6*Mapping!$G$17+AS9/AS$6*Mapping!$G$18+AT9/AT$6*Mapping!$G$19+AU9/AU$6*Mapping!$G$20+AV9/AV$6*Mapping!$G$21+AW9/AW$6*Mapping!$G$22+AX9/AX$6*Mapping!$G$23)/SUM(Mapping!$G$15:$G$23),"")</f>
        <v/>
      </c>
      <c r="BI9" s="64">
        <f>IFERROR((AP9/AP$6*Mapping!$H$15+AQ9/AQ$6*Mapping!$H$16+AR9/AR$6*Mapping!$H$17+AS9/AS$6*Mapping!$H$18+AT9/AT$6*Mapping!$H$19+AU9/AU$6*Mapping!$H$20+AV9/AV$6*Mapping!$H$21+AW9/AW$6*Mapping!$H$22+AX9/AX$6*Mapping!$H$23)/SUM(Mapping!$H$15:$H$23),"")</f>
        <v/>
      </c>
      <c r="BJ9" s="64">
        <f>IFERROR((AP9/AP$6*Mapping!$I$15+AQ9/AQ$6*Mapping!$I$16+AR9/AR$6*Mapping!$I$17+AS9/AS$6*Mapping!$I$18+AT9/AT$6*Mapping!$I$19+AU9/AU$6*Mapping!$I$20+AV9/AV$6*Mapping!$I$21+AW9/AW$6*Mapping!$I$22+AX9/AX$6*Mapping!$I$23)/SUM(Mapping!$I$15:$I$23),"")</f>
        <v/>
      </c>
      <c r="BK9" s="64">
        <f>IFERROR((AP9/AP$6*Mapping!$J$15+AQ9/AQ$6*Mapping!$J$16+AR9/AR$6*Mapping!$J$17+AS9/AS$6*Mapping!$J$18+AT9/AT$6*Mapping!$J$19+AU9/AU$6*Mapping!$J$20+AV9/AV$6*Mapping!$J$21+AW9/AW$6*Mapping!$J$22+AX9/AX$6*Mapping!$J$23)/SUM(Mapping!$J$15:$J$23),"")</f>
        <v/>
      </c>
      <c r="BL9" s="64">
        <f>IFERROR((AP9/AP$6*Mapping!$K$15+AQ9/AQ$6*Mapping!$K$16+AR9/AR$6*Mapping!$K$17+AS9/AS$6*Mapping!$K$18+AT9/AT$6*Mapping!$K$19+AU9/AU$6*Mapping!$K$20+AV9/AV$6*Mapping!$K$21+AW9/AW$6*Mapping!$K$22+AX9/AX$6*Mapping!$K$23)/SUM(Mapping!$K$15:$K$23),"")</f>
        <v/>
      </c>
      <c r="BM9" s="64">
        <f>IFERROR((AP9/AP$6*Mapping!$L$15+AQ9/AQ$6*Mapping!$L$16+AR9/AR$6*Mapping!$L$17+AS9/AS$6*Mapping!$L$18+AT9/AT$6*Mapping!$L$19+AU9/AU$6*Mapping!$L$20+AV9/AV$6*Mapping!$L$21+AW9/AW$6*Mapping!$L$22+AX9/AX$6*Mapping!$L$23)/SUM(Mapping!$L$15:$L$23),"")</f>
        <v/>
      </c>
      <c r="BN9" s="64">
        <f>IFERROR((AP9/AP$6*Mapping!$M$15+AQ9/AQ$6*Mapping!$M$16+AR9/AR$6*Mapping!$M$17+AS9/AS$6*Mapping!$M$18+AT9/AT$6*Mapping!$M$19+AU9/AU$6*Mapping!$M$20+AV9/AV$6*Mapping!$M$21+AW9/AW$6*Mapping!$M$22+AX9/AX$6*Mapping!$M$23)/SUM(Mapping!$M$15:$M$23),"")</f>
        <v/>
      </c>
      <c r="BO9" s="64">
        <f>IFERROR((AP9/AP$6*Mapping!$N$15+AQ9/AQ$6*Mapping!$N$16+AR9/AR$6*Mapping!$N$17+AS9/AS$6*Mapping!$N$18+AT9/AT$6*Mapping!$N$19+AU9/AU$6*Mapping!$N$20+AV9/AV$6*Mapping!$N$21+AW9/AW$6*Mapping!$N$22+AX9/AX$6*Mapping!$N$23)/SUM(Mapping!$N$15:$N$23),"")</f>
        <v/>
      </c>
      <c r="BP9" s="64">
        <f>IFERROR((AP9/AP$6*Mapping!$O$15+AQ9/AQ$6*Mapping!$O$16+AR9/AR$6*Mapping!$O$17+AS9/AS$6*Mapping!$O$18+AT9/AT$6*Mapping!$O$19+AU9/AU$6*Mapping!$O$20+AV9/AV$6*Mapping!$O$21+AW9/AW$6*Mapping!$O$22+AX9/AX$6*Mapping!$O$23)/SUM(Mapping!$O$15:$O$23),"")</f>
        <v/>
      </c>
      <c r="BQ9" s="64">
        <f>IFERROR((AP9/AP$6*Mapping!$P$15+AQ9/AQ$6*Mapping!$P$16+AR9/AR$6*Mapping!$P$17+AS9/AS$6*Mapping!$P$18+AT9/AT$6*Mapping!$P$19+AU9/AU$6*Mapping!$P$20+AV9/AV$6*Mapping!$P$21+AW9/AW$6*Mapping!$P$22+AX9/AX$6*Mapping!$P$23)/SUM(Mapping!$P$15:$P$23),"")</f>
        <v/>
      </c>
      <c r="BR9" s="65">
        <f>IF(BA9="","",BA9+N(AS9)/10000)</f>
        <v/>
      </c>
    </row>
    <row r="10" ht="30" customHeight="1">
      <c r="A10" s="28" t="n">
        <v>4</v>
      </c>
      <c r="B10" s="29" t="inlineStr">
        <is>
          <t>3rd Sem - B</t>
        </is>
      </c>
      <c r="C10" s="29" t="n"/>
      <c r="D10" s="6" t="n"/>
      <c r="E10" s="6" t="n"/>
      <c r="F10" s="29" t="n"/>
      <c r="G10" s="29" t="n"/>
      <c r="H10" s="6" t="n"/>
      <c r="I10" s="29" t="n"/>
      <c r="J10" s="29" t="n"/>
      <c r="K10" s="29" t="n"/>
      <c r="L10" s="29" t="n"/>
      <c r="M10" s="29" t="n"/>
      <c r="N10" s="29" t="n"/>
      <c r="O10" s="29" t="n"/>
      <c r="P10" s="29" t="n"/>
      <c r="Q10" s="29" t="n"/>
      <c r="R10" s="29" t="n"/>
      <c r="S10" s="29" t="n"/>
      <c r="T10" s="29" t="n"/>
      <c r="U10" s="29" t="n"/>
      <c r="V10" s="29" t="n"/>
      <c r="W10" s="29" t="n"/>
      <c r="X10" s="29" t="n"/>
      <c r="Y10" s="29" t="n"/>
      <c r="Z10" s="29" t="n"/>
      <c r="AA10" s="29" t="n"/>
      <c r="AB10" s="29" t="n"/>
      <c r="AC10" s="29" t="n"/>
      <c r="AD10" s="29" t="n"/>
      <c r="AE10" s="29" t="n"/>
      <c r="AF10" s="29" t="n"/>
      <c r="AG10" s="29" t="n"/>
      <c r="AH10" s="29" t="n"/>
      <c r="AI10" s="29" t="n"/>
      <c r="AJ10" s="29" t="n"/>
      <c r="AK10" s="29" t="n"/>
      <c r="AL10" s="29" t="n"/>
      <c r="AM10" s="29" t="n"/>
      <c r="AN10" s="29" t="n"/>
      <c r="AO10" s="29" t="n"/>
      <c r="AP10" s="59">
        <f>IF(COUNT(I10,T10,AE10)=0,"",AVERAGE(I10,T10,AE10))</f>
        <v/>
      </c>
      <c r="AQ10" s="59">
        <f>IF(COUNT(J10,U10,AF10)=0,"",AVERAGE(J10,U10,AF10))</f>
        <v/>
      </c>
      <c r="AR10" s="59">
        <f>IF(COUNT(K10,V10,AG10)=0,"",AVERAGE(K10,V10,AG10))</f>
        <v/>
      </c>
      <c r="AS10" s="59">
        <f>IF(COUNT(L10,W10,AH10)=0,"",AVERAGE(L10,W10,AH10))</f>
        <v/>
      </c>
      <c r="AT10" s="59">
        <f>IF(COUNT(M10,X10,AI10)=0,"",AVERAGE(M10,X10,AI10))</f>
        <v/>
      </c>
      <c r="AU10" s="59">
        <f>IF(COUNT(N10,Y10,AJ10)=0,"",AVERAGE(N10,Y10,AJ10))</f>
        <v/>
      </c>
      <c r="AV10" s="59">
        <f>IF(COUNT(O10,Z10,AK10)=0,"",AVERAGE(O10,Z10,AK10))</f>
        <v/>
      </c>
      <c r="AW10" s="59">
        <f>IF(COUNT(P10,AA10,AL10)=0,"",AVERAGE(P10,AA10,AL10))</f>
        <v/>
      </c>
      <c r="AX10" s="59">
        <f>IF(COUNT(Q10,AB10,AM10)=0,"",AVERAGE(Q10,AB10,AM10))</f>
        <v/>
      </c>
      <c r="AY10" s="60">
        <f>IF(OR($F10="",COUNT(R10,AC10,AN10)=0),"",AVERAGE(R10,AC10,AN10))</f>
        <v/>
      </c>
      <c r="AZ10" s="60">
        <f>IF(OR($G10="",$G10=$F10,COUNT(S10,AD10,AO10)=0),"",AVERAGE(S10,AD10,AO10))</f>
        <v/>
      </c>
      <c r="BA10" s="61">
        <f>IF(COUNT(AP10:AX10)=0,"",SUM(AP10:AX10))</f>
        <v/>
      </c>
      <c r="BB10" s="62">
        <f>IF(BA10="","",BA10/BA$6)</f>
        <v/>
      </c>
      <c r="BC10" s="14">
        <f>IF(BR10="","",COUNTIF($BR$7:$BR$26,"&gt;"&amp;BR10)+COUNTIF($BR$7:BR10,BR10))</f>
        <v/>
      </c>
      <c r="BD10" s="63">
        <f>IF(BC10="","",IF(BC10&lt;=Mapping!$C$11,"Shortlisted","Not shortlisted"))</f>
        <v/>
      </c>
      <c r="BE10" s="64">
        <f>IFERROR((AP10/AP$6*Mapping!$D$15+AQ10/AQ$6*Mapping!$D$16+AR10/AR$6*Mapping!$D$17+AS10/AS$6*Mapping!$D$18+AT10/AT$6*Mapping!$D$19+AU10/AU$6*Mapping!$D$20+AV10/AV$6*Mapping!$D$21+AW10/AW$6*Mapping!$D$22+AX10/AX$6*Mapping!$D$23)/SUM(Mapping!$D$15:$D$23),"")</f>
        <v/>
      </c>
      <c r="BF10" s="64">
        <f>IFERROR((AP10/AP$6*Mapping!$E$15+AQ10/AQ$6*Mapping!$E$16+AR10/AR$6*Mapping!$E$17+AS10/AS$6*Mapping!$E$18+AT10/AT$6*Mapping!$E$19+AU10/AU$6*Mapping!$E$20+AV10/AV$6*Mapping!$E$21+AW10/AW$6*Mapping!$E$22+AX10/AX$6*Mapping!$E$23)/SUM(Mapping!$E$15:$E$23),"")</f>
        <v/>
      </c>
      <c r="BG10" s="64">
        <f>IFERROR((AP10/AP$6*Mapping!$F$15+AQ10/AQ$6*Mapping!$F$16+AR10/AR$6*Mapping!$F$17+AS10/AS$6*Mapping!$F$18+AT10/AT$6*Mapping!$F$19+AU10/AU$6*Mapping!$F$20+AV10/AV$6*Mapping!$F$21+AW10/AW$6*Mapping!$F$22+AX10/AX$6*Mapping!$F$23)/SUM(Mapping!$F$15:$F$23),"")</f>
        <v/>
      </c>
      <c r="BH10" s="64">
        <f>IFERROR((AP10/AP$6*Mapping!$G$15+AQ10/AQ$6*Mapping!$G$16+AR10/AR$6*Mapping!$G$17+AS10/AS$6*Mapping!$G$18+AT10/AT$6*Mapping!$G$19+AU10/AU$6*Mapping!$G$20+AV10/AV$6*Mapping!$G$21+AW10/AW$6*Mapping!$G$22+AX10/AX$6*Mapping!$G$23)/SUM(Mapping!$G$15:$G$23),"")</f>
        <v/>
      </c>
      <c r="BI10" s="64">
        <f>IFERROR((AP10/AP$6*Mapping!$H$15+AQ10/AQ$6*Mapping!$H$16+AR10/AR$6*Mapping!$H$17+AS10/AS$6*Mapping!$H$18+AT10/AT$6*Mapping!$H$19+AU10/AU$6*Mapping!$H$20+AV10/AV$6*Mapping!$H$21+AW10/AW$6*Mapping!$H$22+AX10/AX$6*Mapping!$H$23)/SUM(Mapping!$H$15:$H$23),"")</f>
        <v/>
      </c>
      <c r="BJ10" s="64">
        <f>IFERROR((AP10/AP$6*Mapping!$I$15+AQ10/AQ$6*Mapping!$I$16+AR10/AR$6*Mapping!$I$17+AS10/AS$6*Mapping!$I$18+AT10/AT$6*Mapping!$I$19+AU10/AU$6*Mapping!$I$20+AV10/AV$6*Mapping!$I$21+AW10/AW$6*Mapping!$I$22+AX10/AX$6*Mapping!$I$23)/SUM(Mapping!$I$15:$I$23),"")</f>
        <v/>
      </c>
      <c r="BK10" s="64">
        <f>IFERROR((AP10/AP$6*Mapping!$J$15+AQ10/AQ$6*Mapping!$J$16+AR10/AR$6*Mapping!$J$17+AS10/AS$6*Mapping!$J$18+AT10/AT$6*Mapping!$J$19+AU10/AU$6*Mapping!$J$20+AV10/AV$6*Mapping!$J$21+AW10/AW$6*Mapping!$J$22+AX10/AX$6*Mapping!$J$23)/SUM(Mapping!$J$15:$J$23),"")</f>
        <v/>
      </c>
      <c r="BL10" s="64">
        <f>IFERROR((AP10/AP$6*Mapping!$K$15+AQ10/AQ$6*Mapping!$K$16+AR10/AR$6*Mapping!$K$17+AS10/AS$6*Mapping!$K$18+AT10/AT$6*Mapping!$K$19+AU10/AU$6*Mapping!$K$20+AV10/AV$6*Mapping!$K$21+AW10/AW$6*Mapping!$K$22+AX10/AX$6*Mapping!$K$23)/SUM(Mapping!$K$15:$K$23),"")</f>
        <v/>
      </c>
      <c r="BM10" s="64">
        <f>IFERROR((AP10/AP$6*Mapping!$L$15+AQ10/AQ$6*Mapping!$L$16+AR10/AR$6*Mapping!$L$17+AS10/AS$6*Mapping!$L$18+AT10/AT$6*Mapping!$L$19+AU10/AU$6*Mapping!$L$20+AV10/AV$6*Mapping!$L$21+AW10/AW$6*Mapping!$L$22+AX10/AX$6*Mapping!$L$23)/SUM(Mapping!$L$15:$L$23),"")</f>
        <v/>
      </c>
      <c r="BN10" s="64">
        <f>IFERROR((AP10/AP$6*Mapping!$M$15+AQ10/AQ$6*Mapping!$M$16+AR10/AR$6*Mapping!$M$17+AS10/AS$6*Mapping!$M$18+AT10/AT$6*Mapping!$M$19+AU10/AU$6*Mapping!$M$20+AV10/AV$6*Mapping!$M$21+AW10/AW$6*Mapping!$M$22+AX10/AX$6*Mapping!$M$23)/SUM(Mapping!$M$15:$M$23),"")</f>
        <v/>
      </c>
      <c r="BO10" s="64">
        <f>IFERROR((AP10/AP$6*Mapping!$N$15+AQ10/AQ$6*Mapping!$N$16+AR10/AR$6*Mapping!$N$17+AS10/AS$6*Mapping!$N$18+AT10/AT$6*Mapping!$N$19+AU10/AU$6*Mapping!$N$20+AV10/AV$6*Mapping!$N$21+AW10/AW$6*Mapping!$N$22+AX10/AX$6*Mapping!$N$23)/SUM(Mapping!$N$15:$N$23),"")</f>
        <v/>
      </c>
      <c r="BP10" s="64">
        <f>IFERROR((AP10/AP$6*Mapping!$O$15+AQ10/AQ$6*Mapping!$O$16+AR10/AR$6*Mapping!$O$17+AS10/AS$6*Mapping!$O$18+AT10/AT$6*Mapping!$O$19+AU10/AU$6*Mapping!$O$20+AV10/AV$6*Mapping!$O$21+AW10/AW$6*Mapping!$O$22+AX10/AX$6*Mapping!$O$23)/SUM(Mapping!$O$15:$O$23),"")</f>
        <v/>
      </c>
      <c r="BQ10" s="64">
        <f>IFERROR((AP10/AP$6*Mapping!$P$15+AQ10/AQ$6*Mapping!$P$16+AR10/AR$6*Mapping!$P$17+AS10/AS$6*Mapping!$P$18+AT10/AT$6*Mapping!$P$19+AU10/AU$6*Mapping!$P$20+AV10/AV$6*Mapping!$P$21+AW10/AW$6*Mapping!$P$22+AX10/AX$6*Mapping!$P$23)/SUM(Mapping!$P$15:$P$23),"")</f>
        <v/>
      </c>
      <c r="BR10" s="65">
        <f>IF(BA10="","",BA10+N(AS10)/10000)</f>
        <v/>
      </c>
    </row>
    <row r="11" ht="30" customHeight="1">
      <c r="A11" s="28" t="n">
        <v>5</v>
      </c>
      <c r="B11" s="29" t="inlineStr">
        <is>
          <t>3rd Sem - B</t>
        </is>
      </c>
      <c r="C11" s="29" t="n"/>
      <c r="D11" s="6" t="n"/>
      <c r="E11" s="6" t="n"/>
      <c r="F11" s="29" t="n"/>
      <c r="G11" s="29" t="n"/>
      <c r="H11" s="6"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59">
        <f>IF(COUNT(I11,T11,AE11)=0,"",AVERAGE(I11,T11,AE11))</f>
        <v/>
      </c>
      <c r="AQ11" s="59">
        <f>IF(COUNT(J11,U11,AF11)=0,"",AVERAGE(J11,U11,AF11))</f>
        <v/>
      </c>
      <c r="AR11" s="59">
        <f>IF(COUNT(K11,V11,AG11)=0,"",AVERAGE(K11,V11,AG11))</f>
        <v/>
      </c>
      <c r="AS11" s="59">
        <f>IF(COUNT(L11,W11,AH11)=0,"",AVERAGE(L11,W11,AH11))</f>
        <v/>
      </c>
      <c r="AT11" s="59">
        <f>IF(COUNT(M11,X11,AI11)=0,"",AVERAGE(M11,X11,AI11))</f>
        <v/>
      </c>
      <c r="AU11" s="59">
        <f>IF(COUNT(N11,Y11,AJ11)=0,"",AVERAGE(N11,Y11,AJ11))</f>
        <v/>
      </c>
      <c r="AV11" s="59">
        <f>IF(COUNT(O11,Z11,AK11)=0,"",AVERAGE(O11,Z11,AK11))</f>
        <v/>
      </c>
      <c r="AW11" s="59">
        <f>IF(COUNT(P11,AA11,AL11)=0,"",AVERAGE(P11,AA11,AL11))</f>
        <v/>
      </c>
      <c r="AX11" s="59">
        <f>IF(COUNT(Q11,AB11,AM11)=0,"",AVERAGE(Q11,AB11,AM11))</f>
        <v/>
      </c>
      <c r="AY11" s="60">
        <f>IF(OR($F11="",COUNT(R11,AC11,AN11)=0),"",AVERAGE(R11,AC11,AN11))</f>
        <v/>
      </c>
      <c r="AZ11" s="60">
        <f>IF(OR($G11="",$G11=$F11,COUNT(S11,AD11,AO11)=0),"",AVERAGE(S11,AD11,AO11))</f>
        <v/>
      </c>
      <c r="BA11" s="61">
        <f>IF(COUNT(AP11:AX11)=0,"",SUM(AP11:AX11))</f>
        <v/>
      </c>
      <c r="BB11" s="62">
        <f>IF(BA11="","",BA11/BA$6)</f>
        <v/>
      </c>
      <c r="BC11" s="14">
        <f>IF(BR11="","",COUNTIF($BR$7:$BR$26,"&gt;"&amp;BR11)+COUNTIF($BR$7:BR11,BR11))</f>
        <v/>
      </c>
      <c r="BD11" s="63">
        <f>IF(BC11="","",IF(BC11&lt;=Mapping!$C$11,"Shortlisted","Not shortlisted"))</f>
        <v/>
      </c>
      <c r="BE11" s="64">
        <f>IFERROR((AP11/AP$6*Mapping!$D$15+AQ11/AQ$6*Mapping!$D$16+AR11/AR$6*Mapping!$D$17+AS11/AS$6*Mapping!$D$18+AT11/AT$6*Mapping!$D$19+AU11/AU$6*Mapping!$D$20+AV11/AV$6*Mapping!$D$21+AW11/AW$6*Mapping!$D$22+AX11/AX$6*Mapping!$D$23)/SUM(Mapping!$D$15:$D$23),"")</f>
        <v/>
      </c>
      <c r="BF11" s="64">
        <f>IFERROR((AP11/AP$6*Mapping!$E$15+AQ11/AQ$6*Mapping!$E$16+AR11/AR$6*Mapping!$E$17+AS11/AS$6*Mapping!$E$18+AT11/AT$6*Mapping!$E$19+AU11/AU$6*Mapping!$E$20+AV11/AV$6*Mapping!$E$21+AW11/AW$6*Mapping!$E$22+AX11/AX$6*Mapping!$E$23)/SUM(Mapping!$E$15:$E$23),"")</f>
        <v/>
      </c>
      <c r="BG11" s="64">
        <f>IFERROR((AP11/AP$6*Mapping!$F$15+AQ11/AQ$6*Mapping!$F$16+AR11/AR$6*Mapping!$F$17+AS11/AS$6*Mapping!$F$18+AT11/AT$6*Mapping!$F$19+AU11/AU$6*Mapping!$F$20+AV11/AV$6*Mapping!$F$21+AW11/AW$6*Mapping!$F$22+AX11/AX$6*Mapping!$F$23)/SUM(Mapping!$F$15:$F$23),"")</f>
        <v/>
      </c>
      <c r="BH11" s="64">
        <f>IFERROR((AP11/AP$6*Mapping!$G$15+AQ11/AQ$6*Mapping!$G$16+AR11/AR$6*Mapping!$G$17+AS11/AS$6*Mapping!$G$18+AT11/AT$6*Mapping!$G$19+AU11/AU$6*Mapping!$G$20+AV11/AV$6*Mapping!$G$21+AW11/AW$6*Mapping!$G$22+AX11/AX$6*Mapping!$G$23)/SUM(Mapping!$G$15:$G$23),"")</f>
        <v/>
      </c>
      <c r="BI11" s="64">
        <f>IFERROR((AP11/AP$6*Mapping!$H$15+AQ11/AQ$6*Mapping!$H$16+AR11/AR$6*Mapping!$H$17+AS11/AS$6*Mapping!$H$18+AT11/AT$6*Mapping!$H$19+AU11/AU$6*Mapping!$H$20+AV11/AV$6*Mapping!$H$21+AW11/AW$6*Mapping!$H$22+AX11/AX$6*Mapping!$H$23)/SUM(Mapping!$H$15:$H$23),"")</f>
        <v/>
      </c>
      <c r="BJ11" s="64">
        <f>IFERROR((AP11/AP$6*Mapping!$I$15+AQ11/AQ$6*Mapping!$I$16+AR11/AR$6*Mapping!$I$17+AS11/AS$6*Mapping!$I$18+AT11/AT$6*Mapping!$I$19+AU11/AU$6*Mapping!$I$20+AV11/AV$6*Mapping!$I$21+AW11/AW$6*Mapping!$I$22+AX11/AX$6*Mapping!$I$23)/SUM(Mapping!$I$15:$I$23),"")</f>
        <v/>
      </c>
      <c r="BK11" s="64">
        <f>IFERROR((AP11/AP$6*Mapping!$J$15+AQ11/AQ$6*Mapping!$J$16+AR11/AR$6*Mapping!$J$17+AS11/AS$6*Mapping!$J$18+AT11/AT$6*Mapping!$J$19+AU11/AU$6*Mapping!$J$20+AV11/AV$6*Mapping!$J$21+AW11/AW$6*Mapping!$J$22+AX11/AX$6*Mapping!$J$23)/SUM(Mapping!$J$15:$J$23),"")</f>
        <v/>
      </c>
      <c r="BL11" s="64">
        <f>IFERROR((AP11/AP$6*Mapping!$K$15+AQ11/AQ$6*Mapping!$K$16+AR11/AR$6*Mapping!$K$17+AS11/AS$6*Mapping!$K$18+AT11/AT$6*Mapping!$K$19+AU11/AU$6*Mapping!$K$20+AV11/AV$6*Mapping!$K$21+AW11/AW$6*Mapping!$K$22+AX11/AX$6*Mapping!$K$23)/SUM(Mapping!$K$15:$K$23),"")</f>
        <v/>
      </c>
      <c r="BM11" s="64">
        <f>IFERROR((AP11/AP$6*Mapping!$L$15+AQ11/AQ$6*Mapping!$L$16+AR11/AR$6*Mapping!$L$17+AS11/AS$6*Mapping!$L$18+AT11/AT$6*Mapping!$L$19+AU11/AU$6*Mapping!$L$20+AV11/AV$6*Mapping!$L$21+AW11/AW$6*Mapping!$L$22+AX11/AX$6*Mapping!$L$23)/SUM(Mapping!$L$15:$L$23),"")</f>
        <v/>
      </c>
      <c r="BN11" s="64">
        <f>IFERROR((AP11/AP$6*Mapping!$M$15+AQ11/AQ$6*Mapping!$M$16+AR11/AR$6*Mapping!$M$17+AS11/AS$6*Mapping!$M$18+AT11/AT$6*Mapping!$M$19+AU11/AU$6*Mapping!$M$20+AV11/AV$6*Mapping!$M$21+AW11/AW$6*Mapping!$M$22+AX11/AX$6*Mapping!$M$23)/SUM(Mapping!$M$15:$M$23),"")</f>
        <v/>
      </c>
      <c r="BO11" s="64">
        <f>IFERROR((AP11/AP$6*Mapping!$N$15+AQ11/AQ$6*Mapping!$N$16+AR11/AR$6*Mapping!$N$17+AS11/AS$6*Mapping!$N$18+AT11/AT$6*Mapping!$N$19+AU11/AU$6*Mapping!$N$20+AV11/AV$6*Mapping!$N$21+AW11/AW$6*Mapping!$N$22+AX11/AX$6*Mapping!$N$23)/SUM(Mapping!$N$15:$N$23),"")</f>
        <v/>
      </c>
      <c r="BP11" s="64">
        <f>IFERROR((AP11/AP$6*Mapping!$O$15+AQ11/AQ$6*Mapping!$O$16+AR11/AR$6*Mapping!$O$17+AS11/AS$6*Mapping!$O$18+AT11/AT$6*Mapping!$O$19+AU11/AU$6*Mapping!$O$20+AV11/AV$6*Mapping!$O$21+AW11/AW$6*Mapping!$O$22+AX11/AX$6*Mapping!$O$23)/SUM(Mapping!$O$15:$O$23),"")</f>
        <v/>
      </c>
      <c r="BQ11" s="64">
        <f>IFERROR((AP11/AP$6*Mapping!$P$15+AQ11/AQ$6*Mapping!$P$16+AR11/AR$6*Mapping!$P$17+AS11/AS$6*Mapping!$P$18+AT11/AT$6*Mapping!$P$19+AU11/AU$6*Mapping!$P$20+AV11/AV$6*Mapping!$P$21+AW11/AW$6*Mapping!$P$22+AX11/AX$6*Mapping!$P$23)/SUM(Mapping!$P$15:$P$23),"")</f>
        <v/>
      </c>
      <c r="BR11" s="65">
        <f>IF(BA11="","",BA11+N(AS11)/10000)</f>
        <v/>
      </c>
    </row>
    <row r="12" ht="30" customHeight="1">
      <c r="A12" s="28" t="n">
        <v>6</v>
      </c>
      <c r="B12" s="29" t="inlineStr">
        <is>
          <t>3rd Sem - B</t>
        </is>
      </c>
      <c r="C12" s="29" t="n"/>
      <c r="D12" s="6" t="n"/>
      <c r="E12" s="6" t="n"/>
      <c r="F12" s="29" t="n"/>
      <c r="G12" s="29" t="n"/>
      <c r="H12" s="6" t="n"/>
      <c r="I12" s="29" t="n"/>
      <c r="J12" s="29" t="n"/>
      <c r="K12" s="29" t="n"/>
      <c r="L12" s="29" t="n"/>
      <c r="M12" s="29" t="n"/>
      <c r="N12" s="29" t="n"/>
      <c r="O12" s="29" t="n"/>
      <c r="P12" s="29" t="n"/>
      <c r="Q12" s="29" t="n"/>
      <c r="R12" s="29" t="n"/>
      <c r="S12" s="29" t="n"/>
      <c r="T12" s="29" t="n"/>
      <c r="U12" s="29" t="n"/>
      <c r="V12" s="29" t="n"/>
      <c r="W12" s="29" t="n"/>
      <c r="X12" s="29" t="n"/>
      <c r="Y12" s="29" t="n"/>
      <c r="Z12" s="29" t="n"/>
      <c r="AA12" s="29" t="n"/>
      <c r="AB12" s="29" t="n"/>
      <c r="AC12" s="29" t="n"/>
      <c r="AD12" s="29" t="n"/>
      <c r="AE12" s="29" t="n"/>
      <c r="AF12" s="29" t="n"/>
      <c r="AG12" s="29" t="n"/>
      <c r="AH12" s="29" t="n"/>
      <c r="AI12" s="29" t="n"/>
      <c r="AJ12" s="29" t="n"/>
      <c r="AK12" s="29" t="n"/>
      <c r="AL12" s="29" t="n"/>
      <c r="AM12" s="29" t="n"/>
      <c r="AN12" s="29" t="n"/>
      <c r="AO12" s="29" t="n"/>
      <c r="AP12" s="59">
        <f>IF(COUNT(I12,T12,AE12)=0,"",AVERAGE(I12,T12,AE12))</f>
        <v/>
      </c>
      <c r="AQ12" s="59">
        <f>IF(COUNT(J12,U12,AF12)=0,"",AVERAGE(J12,U12,AF12))</f>
        <v/>
      </c>
      <c r="AR12" s="59">
        <f>IF(COUNT(K12,V12,AG12)=0,"",AVERAGE(K12,V12,AG12))</f>
        <v/>
      </c>
      <c r="AS12" s="59">
        <f>IF(COUNT(L12,W12,AH12)=0,"",AVERAGE(L12,W12,AH12))</f>
        <v/>
      </c>
      <c r="AT12" s="59">
        <f>IF(COUNT(M12,X12,AI12)=0,"",AVERAGE(M12,X12,AI12))</f>
        <v/>
      </c>
      <c r="AU12" s="59">
        <f>IF(COUNT(N12,Y12,AJ12)=0,"",AVERAGE(N12,Y12,AJ12))</f>
        <v/>
      </c>
      <c r="AV12" s="59">
        <f>IF(COUNT(O12,Z12,AK12)=0,"",AVERAGE(O12,Z12,AK12))</f>
        <v/>
      </c>
      <c r="AW12" s="59">
        <f>IF(COUNT(P12,AA12,AL12)=0,"",AVERAGE(P12,AA12,AL12))</f>
        <v/>
      </c>
      <c r="AX12" s="59">
        <f>IF(COUNT(Q12,AB12,AM12)=0,"",AVERAGE(Q12,AB12,AM12))</f>
        <v/>
      </c>
      <c r="AY12" s="60">
        <f>IF(OR($F12="",COUNT(R12,AC12,AN12)=0),"",AVERAGE(R12,AC12,AN12))</f>
        <v/>
      </c>
      <c r="AZ12" s="60">
        <f>IF(OR($G12="",$G12=$F12,COUNT(S12,AD12,AO12)=0),"",AVERAGE(S12,AD12,AO12))</f>
        <v/>
      </c>
      <c r="BA12" s="61">
        <f>IF(COUNT(AP12:AX12)=0,"",SUM(AP12:AX12))</f>
        <v/>
      </c>
      <c r="BB12" s="62">
        <f>IF(BA12="","",BA12/BA$6)</f>
        <v/>
      </c>
      <c r="BC12" s="14">
        <f>IF(BR12="","",COUNTIF($BR$7:$BR$26,"&gt;"&amp;BR12)+COUNTIF($BR$7:BR12,BR12))</f>
        <v/>
      </c>
      <c r="BD12" s="63">
        <f>IF(BC12="","",IF(BC12&lt;=Mapping!$C$11,"Shortlisted","Not shortlisted"))</f>
        <v/>
      </c>
      <c r="BE12" s="64">
        <f>IFERROR((AP12/AP$6*Mapping!$D$15+AQ12/AQ$6*Mapping!$D$16+AR12/AR$6*Mapping!$D$17+AS12/AS$6*Mapping!$D$18+AT12/AT$6*Mapping!$D$19+AU12/AU$6*Mapping!$D$20+AV12/AV$6*Mapping!$D$21+AW12/AW$6*Mapping!$D$22+AX12/AX$6*Mapping!$D$23)/SUM(Mapping!$D$15:$D$23),"")</f>
        <v/>
      </c>
      <c r="BF12" s="64">
        <f>IFERROR((AP12/AP$6*Mapping!$E$15+AQ12/AQ$6*Mapping!$E$16+AR12/AR$6*Mapping!$E$17+AS12/AS$6*Mapping!$E$18+AT12/AT$6*Mapping!$E$19+AU12/AU$6*Mapping!$E$20+AV12/AV$6*Mapping!$E$21+AW12/AW$6*Mapping!$E$22+AX12/AX$6*Mapping!$E$23)/SUM(Mapping!$E$15:$E$23),"")</f>
        <v/>
      </c>
      <c r="BG12" s="64">
        <f>IFERROR((AP12/AP$6*Mapping!$F$15+AQ12/AQ$6*Mapping!$F$16+AR12/AR$6*Mapping!$F$17+AS12/AS$6*Mapping!$F$18+AT12/AT$6*Mapping!$F$19+AU12/AU$6*Mapping!$F$20+AV12/AV$6*Mapping!$F$21+AW12/AW$6*Mapping!$F$22+AX12/AX$6*Mapping!$F$23)/SUM(Mapping!$F$15:$F$23),"")</f>
        <v/>
      </c>
      <c r="BH12" s="64">
        <f>IFERROR((AP12/AP$6*Mapping!$G$15+AQ12/AQ$6*Mapping!$G$16+AR12/AR$6*Mapping!$G$17+AS12/AS$6*Mapping!$G$18+AT12/AT$6*Mapping!$G$19+AU12/AU$6*Mapping!$G$20+AV12/AV$6*Mapping!$G$21+AW12/AW$6*Mapping!$G$22+AX12/AX$6*Mapping!$G$23)/SUM(Mapping!$G$15:$G$23),"")</f>
        <v/>
      </c>
      <c r="BI12" s="64">
        <f>IFERROR((AP12/AP$6*Mapping!$H$15+AQ12/AQ$6*Mapping!$H$16+AR12/AR$6*Mapping!$H$17+AS12/AS$6*Mapping!$H$18+AT12/AT$6*Mapping!$H$19+AU12/AU$6*Mapping!$H$20+AV12/AV$6*Mapping!$H$21+AW12/AW$6*Mapping!$H$22+AX12/AX$6*Mapping!$H$23)/SUM(Mapping!$H$15:$H$23),"")</f>
        <v/>
      </c>
      <c r="BJ12" s="64">
        <f>IFERROR((AP12/AP$6*Mapping!$I$15+AQ12/AQ$6*Mapping!$I$16+AR12/AR$6*Mapping!$I$17+AS12/AS$6*Mapping!$I$18+AT12/AT$6*Mapping!$I$19+AU12/AU$6*Mapping!$I$20+AV12/AV$6*Mapping!$I$21+AW12/AW$6*Mapping!$I$22+AX12/AX$6*Mapping!$I$23)/SUM(Mapping!$I$15:$I$23),"")</f>
        <v/>
      </c>
      <c r="BK12" s="64">
        <f>IFERROR((AP12/AP$6*Mapping!$J$15+AQ12/AQ$6*Mapping!$J$16+AR12/AR$6*Mapping!$J$17+AS12/AS$6*Mapping!$J$18+AT12/AT$6*Mapping!$J$19+AU12/AU$6*Mapping!$J$20+AV12/AV$6*Mapping!$J$21+AW12/AW$6*Mapping!$J$22+AX12/AX$6*Mapping!$J$23)/SUM(Mapping!$J$15:$J$23),"")</f>
        <v/>
      </c>
      <c r="BL12" s="64">
        <f>IFERROR((AP12/AP$6*Mapping!$K$15+AQ12/AQ$6*Mapping!$K$16+AR12/AR$6*Mapping!$K$17+AS12/AS$6*Mapping!$K$18+AT12/AT$6*Mapping!$K$19+AU12/AU$6*Mapping!$K$20+AV12/AV$6*Mapping!$K$21+AW12/AW$6*Mapping!$K$22+AX12/AX$6*Mapping!$K$23)/SUM(Mapping!$K$15:$K$23),"")</f>
        <v/>
      </c>
      <c r="BM12" s="64">
        <f>IFERROR((AP12/AP$6*Mapping!$L$15+AQ12/AQ$6*Mapping!$L$16+AR12/AR$6*Mapping!$L$17+AS12/AS$6*Mapping!$L$18+AT12/AT$6*Mapping!$L$19+AU12/AU$6*Mapping!$L$20+AV12/AV$6*Mapping!$L$21+AW12/AW$6*Mapping!$L$22+AX12/AX$6*Mapping!$L$23)/SUM(Mapping!$L$15:$L$23),"")</f>
        <v/>
      </c>
      <c r="BN12" s="64">
        <f>IFERROR((AP12/AP$6*Mapping!$M$15+AQ12/AQ$6*Mapping!$M$16+AR12/AR$6*Mapping!$M$17+AS12/AS$6*Mapping!$M$18+AT12/AT$6*Mapping!$M$19+AU12/AU$6*Mapping!$M$20+AV12/AV$6*Mapping!$M$21+AW12/AW$6*Mapping!$M$22+AX12/AX$6*Mapping!$M$23)/SUM(Mapping!$M$15:$M$23),"")</f>
        <v/>
      </c>
      <c r="BO12" s="64">
        <f>IFERROR((AP12/AP$6*Mapping!$N$15+AQ12/AQ$6*Mapping!$N$16+AR12/AR$6*Mapping!$N$17+AS12/AS$6*Mapping!$N$18+AT12/AT$6*Mapping!$N$19+AU12/AU$6*Mapping!$N$20+AV12/AV$6*Mapping!$N$21+AW12/AW$6*Mapping!$N$22+AX12/AX$6*Mapping!$N$23)/SUM(Mapping!$N$15:$N$23),"")</f>
        <v/>
      </c>
      <c r="BP12" s="64">
        <f>IFERROR((AP12/AP$6*Mapping!$O$15+AQ12/AQ$6*Mapping!$O$16+AR12/AR$6*Mapping!$O$17+AS12/AS$6*Mapping!$O$18+AT12/AT$6*Mapping!$O$19+AU12/AU$6*Mapping!$O$20+AV12/AV$6*Mapping!$O$21+AW12/AW$6*Mapping!$O$22+AX12/AX$6*Mapping!$O$23)/SUM(Mapping!$O$15:$O$23),"")</f>
        <v/>
      </c>
      <c r="BQ12" s="64">
        <f>IFERROR((AP12/AP$6*Mapping!$P$15+AQ12/AQ$6*Mapping!$P$16+AR12/AR$6*Mapping!$P$17+AS12/AS$6*Mapping!$P$18+AT12/AT$6*Mapping!$P$19+AU12/AU$6*Mapping!$P$20+AV12/AV$6*Mapping!$P$21+AW12/AW$6*Mapping!$P$22+AX12/AX$6*Mapping!$P$23)/SUM(Mapping!$P$15:$P$23),"")</f>
        <v/>
      </c>
      <c r="BR12" s="65">
        <f>IF(BA12="","",BA12+N(AS12)/10000)</f>
        <v/>
      </c>
    </row>
    <row r="13" ht="30" customHeight="1">
      <c r="A13" s="28" t="n">
        <v>7</v>
      </c>
      <c r="B13" s="29" t="inlineStr">
        <is>
          <t>3rd Sem - B</t>
        </is>
      </c>
      <c r="C13" s="29" t="n"/>
      <c r="D13" s="6" t="n"/>
      <c r="E13" s="6" t="n"/>
      <c r="F13" s="29" t="n"/>
      <c r="G13" s="29" t="n"/>
      <c r="H13" s="6" t="n"/>
      <c r="I13" s="29" t="n"/>
      <c r="J13" s="29" t="n"/>
      <c r="K13" s="29" t="n"/>
      <c r="L13" s="29" t="n"/>
      <c r="M13" s="29" t="n"/>
      <c r="N13" s="29" t="n"/>
      <c r="O13" s="29" t="n"/>
      <c r="P13" s="29" t="n"/>
      <c r="Q13" s="29" t="n"/>
      <c r="R13" s="29" t="n"/>
      <c r="S13" s="29" t="n"/>
      <c r="T13" s="29" t="n"/>
      <c r="U13" s="29" t="n"/>
      <c r="V13" s="29" t="n"/>
      <c r="W13" s="29" t="n"/>
      <c r="X13" s="29" t="n"/>
      <c r="Y13" s="29" t="n"/>
      <c r="Z13" s="29" t="n"/>
      <c r="AA13" s="29" t="n"/>
      <c r="AB13" s="29" t="n"/>
      <c r="AC13" s="29" t="n"/>
      <c r="AD13" s="29" t="n"/>
      <c r="AE13" s="29" t="n"/>
      <c r="AF13" s="29" t="n"/>
      <c r="AG13" s="29" t="n"/>
      <c r="AH13" s="29" t="n"/>
      <c r="AI13" s="29" t="n"/>
      <c r="AJ13" s="29" t="n"/>
      <c r="AK13" s="29" t="n"/>
      <c r="AL13" s="29" t="n"/>
      <c r="AM13" s="29" t="n"/>
      <c r="AN13" s="29" t="n"/>
      <c r="AO13" s="29" t="n"/>
      <c r="AP13" s="59">
        <f>IF(COUNT(I13,T13,AE13)=0,"",AVERAGE(I13,T13,AE13))</f>
        <v/>
      </c>
      <c r="AQ13" s="59">
        <f>IF(COUNT(J13,U13,AF13)=0,"",AVERAGE(J13,U13,AF13))</f>
        <v/>
      </c>
      <c r="AR13" s="59">
        <f>IF(COUNT(K13,V13,AG13)=0,"",AVERAGE(K13,V13,AG13))</f>
        <v/>
      </c>
      <c r="AS13" s="59">
        <f>IF(COUNT(L13,W13,AH13)=0,"",AVERAGE(L13,W13,AH13))</f>
        <v/>
      </c>
      <c r="AT13" s="59">
        <f>IF(COUNT(M13,X13,AI13)=0,"",AVERAGE(M13,X13,AI13))</f>
        <v/>
      </c>
      <c r="AU13" s="59">
        <f>IF(COUNT(N13,Y13,AJ13)=0,"",AVERAGE(N13,Y13,AJ13))</f>
        <v/>
      </c>
      <c r="AV13" s="59">
        <f>IF(COUNT(O13,Z13,AK13)=0,"",AVERAGE(O13,Z13,AK13))</f>
        <v/>
      </c>
      <c r="AW13" s="59">
        <f>IF(COUNT(P13,AA13,AL13)=0,"",AVERAGE(P13,AA13,AL13))</f>
        <v/>
      </c>
      <c r="AX13" s="59">
        <f>IF(COUNT(Q13,AB13,AM13)=0,"",AVERAGE(Q13,AB13,AM13))</f>
        <v/>
      </c>
      <c r="AY13" s="60">
        <f>IF(OR($F13="",COUNT(R13,AC13,AN13)=0),"",AVERAGE(R13,AC13,AN13))</f>
        <v/>
      </c>
      <c r="AZ13" s="60">
        <f>IF(OR($G13="",$G13=$F13,COUNT(S13,AD13,AO13)=0),"",AVERAGE(S13,AD13,AO13))</f>
        <v/>
      </c>
      <c r="BA13" s="61">
        <f>IF(COUNT(AP13:AX13)=0,"",SUM(AP13:AX13))</f>
        <v/>
      </c>
      <c r="BB13" s="62">
        <f>IF(BA13="","",BA13/BA$6)</f>
        <v/>
      </c>
      <c r="BC13" s="14">
        <f>IF(BR13="","",COUNTIF($BR$7:$BR$26,"&gt;"&amp;BR13)+COUNTIF($BR$7:BR13,BR13))</f>
        <v/>
      </c>
      <c r="BD13" s="63">
        <f>IF(BC13="","",IF(BC13&lt;=Mapping!$C$11,"Shortlisted","Not shortlisted"))</f>
        <v/>
      </c>
      <c r="BE13" s="64">
        <f>IFERROR((AP13/AP$6*Mapping!$D$15+AQ13/AQ$6*Mapping!$D$16+AR13/AR$6*Mapping!$D$17+AS13/AS$6*Mapping!$D$18+AT13/AT$6*Mapping!$D$19+AU13/AU$6*Mapping!$D$20+AV13/AV$6*Mapping!$D$21+AW13/AW$6*Mapping!$D$22+AX13/AX$6*Mapping!$D$23)/SUM(Mapping!$D$15:$D$23),"")</f>
        <v/>
      </c>
      <c r="BF13" s="64">
        <f>IFERROR((AP13/AP$6*Mapping!$E$15+AQ13/AQ$6*Mapping!$E$16+AR13/AR$6*Mapping!$E$17+AS13/AS$6*Mapping!$E$18+AT13/AT$6*Mapping!$E$19+AU13/AU$6*Mapping!$E$20+AV13/AV$6*Mapping!$E$21+AW13/AW$6*Mapping!$E$22+AX13/AX$6*Mapping!$E$23)/SUM(Mapping!$E$15:$E$23),"")</f>
        <v/>
      </c>
      <c r="BG13" s="64">
        <f>IFERROR((AP13/AP$6*Mapping!$F$15+AQ13/AQ$6*Mapping!$F$16+AR13/AR$6*Mapping!$F$17+AS13/AS$6*Mapping!$F$18+AT13/AT$6*Mapping!$F$19+AU13/AU$6*Mapping!$F$20+AV13/AV$6*Mapping!$F$21+AW13/AW$6*Mapping!$F$22+AX13/AX$6*Mapping!$F$23)/SUM(Mapping!$F$15:$F$23),"")</f>
        <v/>
      </c>
      <c r="BH13" s="64">
        <f>IFERROR((AP13/AP$6*Mapping!$G$15+AQ13/AQ$6*Mapping!$G$16+AR13/AR$6*Mapping!$G$17+AS13/AS$6*Mapping!$G$18+AT13/AT$6*Mapping!$G$19+AU13/AU$6*Mapping!$G$20+AV13/AV$6*Mapping!$G$21+AW13/AW$6*Mapping!$G$22+AX13/AX$6*Mapping!$G$23)/SUM(Mapping!$G$15:$G$23),"")</f>
        <v/>
      </c>
      <c r="BI13" s="64">
        <f>IFERROR((AP13/AP$6*Mapping!$H$15+AQ13/AQ$6*Mapping!$H$16+AR13/AR$6*Mapping!$H$17+AS13/AS$6*Mapping!$H$18+AT13/AT$6*Mapping!$H$19+AU13/AU$6*Mapping!$H$20+AV13/AV$6*Mapping!$H$21+AW13/AW$6*Mapping!$H$22+AX13/AX$6*Mapping!$H$23)/SUM(Mapping!$H$15:$H$23),"")</f>
        <v/>
      </c>
      <c r="BJ13" s="64">
        <f>IFERROR((AP13/AP$6*Mapping!$I$15+AQ13/AQ$6*Mapping!$I$16+AR13/AR$6*Mapping!$I$17+AS13/AS$6*Mapping!$I$18+AT13/AT$6*Mapping!$I$19+AU13/AU$6*Mapping!$I$20+AV13/AV$6*Mapping!$I$21+AW13/AW$6*Mapping!$I$22+AX13/AX$6*Mapping!$I$23)/SUM(Mapping!$I$15:$I$23),"")</f>
        <v/>
      </c>
      <c r="BK13" s="64">
        <f>IFERROR((AP13/AP$6*Mapping!$J$15+AQ13/AQ$6*Mapping!$J$16+AR13/AR$6*Mapping!$J$17+AS13/AS$6*Mapping!$J$18+AT13/AT$6*Mapping!$J$19+AU13/AU$6*Mapping!$J$20+AV13/AV$6*Mapping!$J$21+AW13/AW$6*Mapping!$J$22+AX13/AX$6*Mapping!$J$23)/SUM(Mapping!$J$15:$J$23),"")</f>
        <v/>
      </c>
      <c r="BL13" s="64">
        <f>IFERROR((AP13/AP$6*Mapping!$K$15+AQ13/AQ$6*Mapping!$K$16+AR13/AR$6*Mapping!$K$17+AS13/AS$6*Mapping!$K$18+AT13/AT$6*Mapping!$K$19+AU13/AU$6*Mapping!$K$20+AV13/AV$6*Mapping!$K$21+AW13/AW$6*Mapping!$K$22+AX13/AX$6*Mapping!$K$23)/SUM(Mapping!$K$15:$K$23),"")</f>
        <v/>
      </c>
      <c r="BM13" s="64">
        <f>IFERROR((AP13/AP$6*Mapping!$L$15+AQ13/AQ$6*Mapping!$L$16+AR13/AR$6*Mapping!$L$17+AS13/AS$6*Mapping!$L$18+AT13/AT$6*Mapping!$L$19+AU13/AU$6*Mapping!$L$20+AV13/AV$6*Mapping!$L$21+AW13/AW$6*Mapping!$L$22+AX13/AX$6*Mapping!$L$23)/SUM(Mapping!$L$15:$L$23),"")</f>
        <v/>
      </c>
      <c r="BN13" s="64">
        <f>IFERROR((AP13/AP$6*Mapping!$M$15+AQ13/AQ$6*Mapping!$M$16+AR13/AR$6*Mapping!$M$17+AS13/AS$6*Mapping!$M$18+AT13/AT$6*Mapping!$M$19+AU13/AU$6*Mapping!$M$20+AV13/AV$6*Mapping!$M$21+AW13/AW$6*Mapping!$M$22+AX13/AX$6*Mapping!$M$23)/SUM(Mapping!$M$15:$M$23),"")</f>
        <v/>
      </c>
      <c r="BO13" s="64">
        <f>IFERROR((AP13/AP$6*Mapping!$N$15+AQ13/AQ$6*Mapping!$N$16+AR13/AR$6*Mapping!$N$17+AS13/AS$6*Mapping!$N$18+AT13/AT$6*Mapping!$N$19+AU13/AU$6*Mapping!$N$20+AV13/AV$6*Mapping!$N$21+AW13/AW$6*Mapping!$N$22+AX13/AX$6*Mapping!$N$23)/SUM(Mapping!$N$15:$N$23),"")</f>
        <v/>
      </c>
      <c r="BP13" s="64">
        <f>IFERROR((AP13/AP$6*Mapping!$O$15+AQ13/AQ$6*Mapping!$O$16+AR13/AR$6*Mapping!$O$17+AS13/AS$6*Mapping!$O$18+AT13/AT$6*Mapping!$O$19+AU13/AU$6*Mapping!$O$20+AV13/AV$6*Mapping!$O$21+AW13/AW$6*Mapping!$O$22+AX13/AX$6*Mapping!$O$23)/SUM(Mapping!$O$15:$O$23),"")</f>
        <v/>
      </c>
      <c r="BQ13" s="64">
        <f>IFERROR((AP13/AP$6*Mapping!$P$15+AQ13/AQ$6*Mapping!$P$16+AR13/AR$6*Mapping!$P$17+AS13/AS$6*Mapping!$P$18+AT13/AT$6*Mapping!$P$19+AU13/AU$6*Mapping!$P$20+AV13/AV$6*Mapping!$P$21+AW13/AW$6*Mapping!$P$22+AX13/AX$6*Mapping!$P$23)/SUM(Mapping!$P$15:$P$23),"")</f>
        <v/>
      </c>
      <c r="BR13" s="65">
        <f>IF(BA13="","",BA13+N(AS13)/10000)</f>
        <v/>
      </c>
    </row>
    <row r="14" ht="30" customHeight="1">
      <c r="A14" s="28" t="n">
        <v>8</v>
      </c>
      <c r="B14" s="29" t="inlineStr">
        <is>
          <t>3rd Sem - B</t>
        </is>
      </c>
      <c r="C14" s="29" t="n"/>
      <c r="D14" s="6" t="n"/>
      <c r="E14" s="6" t="n"/>
      <c r="F14" s="29" t="n"/>
      <c r="G14" s="29" t="n"/>
      <c r="H14" s="6" t="n"/>
      <c r="I14" s="29" t="n"/>
      <c r="J14" s="29" t="n"/>
      <c r="K14" s="29" t="n"/>
      <c r="L14" s="29" t="n"/>
      <c r="M14" s="29" t="n"/>
      <c r="N14" s="29" t="n"/>
      <c r="O14" s="29" t="n"/>
      <c r="P14" s="29" t="n"/>
      <c r="Q14" s="29" t="n"/>
      <c r="R14" s="29" t="n"/>
      <c r="S14" s="29" t="n"/>
      <c r="T14" s="29" t="n"/>
      <c r="U14" s="29" t="n"/>
      <c r="V14" s="29" t="n"/>
      <c r="W14" s="29" t="n"/>
      <c r="X14" s="29" t="n"/>
      <c r="Y14" s="29" t="n"/>
      <c r="Z14" s="29" t="n"/>
      <c r="AA14" s="29" t="n"/>
      <c r="AB14" s="29" t="n"/>
      <c r="AC14" s="29" t="n"/>
      <c r="AD14" s="29" t="n"/>
      <c r="AE14" s="29" t="n"/>
      <c r="AF14" s="29" t="n"/>
      <c r="AG14" s="29" t="n"/>
      <c r="AH14" s="29" t="n"/>
      <c r="AI14" s="29" t="n"/>
      <c r="AJ14" s="29" t="n"/>
      <c r="AK14" s="29" t="n"/>
      <c r="AL14" s="29" t="n"/>
      <c r="AM14" s="29" t="n"/>
      <c r="AN14" s="29" t="n"/>
      <c r="AO14" s="29" t="n"/>
      <c r="AP14" s="59">
        <f>IF(COUNT(I14,T14,AE14)=0,"",AVERAGE(I14,T14,AE14))</f>
        <v/>
      </c>
      <c r="AQ14" s="59">
        <f>IF(COUNT(J14,U14,AF14)=0,"",AVERAGE(J14,U14,AF14))</f>
        <v/>
      </c>
      <c r="AR14" s="59">
        <f>IF(COUNT(K14,V14,AG14)=0,"",AVERAGE(K14,V14,AG14))</f>
        <v/>
      </c>
      <c r="AS14" s="59">
        <f>IF(COUNT(L14,W14,AH14)=0,"",AVERAGE(L14,W14,AH14))</f>
        <v/>
      </c>
      <c r="AT14" s="59">
        <f>IF(COUNT(M14,X14,AI14)=0,"",AVERAGE(M14,X14,AI14))</f>
        <v/>
      </c>
      <c r="AU14" s="59">
        <f>IF(COUNT(N14,Y14,AJ14)=0,"",AVERAGE(N14,Y14,AJ14))</f>
        <v/>
      </c>
      <c r="AV14" s="59">
        <f>IF(COUNT(O14,Z14,AK14)=0,"",AVERAGE(O14,Z14,AK14))</f>
        <v/>
      </c>
      <c r="AW14" s="59">
        <f>IF(COUNT(P14,AA14,AL14)=0,"",AVERAGE(P14,AA14,AL14))</f>
        <v/>
      </c>
      <c r="AX14" s="59">
        <f>IF(COUNT(Q14,AB14,AM14)=0,"",AVERAGE(Q14,AB14,AM14))</f>
        <v/>
      </c>
      <c r="AY14" s="60">
        <f>IF(OR($F14="",COUNT(R14,AC14,AN14)=0),"",AVERAGE(R14,AC14,AN14))</f>
        <v/>
      </c>
      <c r="AZ14" s="60">
        <f>IF(OR($G14="",$G14=$F14,COUNT(S14,AD14,AO14)=0),"",AVERAGE(S14,AD14,AO14))</f>
        <v/>
      </c>
      <c r="BA14" s="61">
        <f>IF(COUNT(AP14:AX14)=0,"",SUM(AP14:AX14))</f>
        <v/>
      </c>
      <c r="BB14" s="62">
        <f>IF(BA14="","",BA14/BA$6)</f>
        <v/>
      </c>
      <c r="BC14" s="14">
        <f>IF(BR14="","",COUNTIF($BR$7:$BR$26,"&gt;"&amp;BR14)+COUNTIF($BR$7:BR14,BR14))</f>
        <v/>
      </c>
      <c r="BD14" s="63">
        <f>IF(BC14="","",IF(BC14&lt;=Mapping!$C$11,"Shortlisted","Not shortlisted"))</f>
        <v/>
      </c>
      <c r="BE14" s="64">
        <f>IFERROR((AP14/AP$6*Mapping!$D$15+AQ14/AQ$6*Mapping!$D$16+AR14/AR$6*Mapping!$D$17+AS14/AS$6*Mapping!$D$18+AT14/AT$6*Mapping!$D$19+AU14/AU$6*Mapping!$D$20+AV14/AV$6*Mapping!$D$21+AW14/AW$6*Mapping!$D$22+AX14/AX$6*Mapping!$D$23)/SUM(Mapping!$D$15:$D$23),"")</f>
        <v/>
      </c>
      <c r="BF14" s="64">
        <f>IFERROR((AP14/AP$6*Mapping!$E$15+AQ14/AQ$6*Mapping!$E$16+AR14/AR$6*Mapping!$E$17+AS14/AS$6*Mapping!$E$18+AT14/AT$6*Mapping!$E$19+AU14/AU$6*Mapping!$E$20+AV14/AV$6*Mapping!$E$21+AW14/AW$6*Mapping!$E$22+AX14/AX$6*Mapping!$E$23)/SUM(Mapping!$E$15:$E$23),"")</f>
        <v/>
      </c>
      <c r="BG14" s="64">
        <f>IFERROR((AP14/AP$6*Mapping!$F$15+AQ14/AQ$6*Mapping!$F$16+AR14/AR$6*Mapping!$F$17+AS14/AS$6*Mapping!$F$18+AT14/AT$6*Mapping!$F$19+AU14/AU$6*Mapping!$F$20+AV14/AV$6*Mapping!$F$21+AW14/AW$6*Mapping!$F$22+AX14/AX$6*Mapping!$F$23)/SUM(Mapping!$F$15:$F$23),"")</f>
        <v/>
      </c>
      <c r="BH14" s="64">
        <f>IFERROR((AP14/AP$6*Mapping!$G$15+AQ14/AQ$6*Mapping!$G$16+AR14/AR$6*Mapping!$G$17+AS14/AS$6*Mapping!$G$18+AT14/AT$6*Mapping!$G$19+AU14/AU$6*Mapping!$G$20+AV14/AV$6*Mapping!$G$21+AW14/AW$6*Mapping!$G$22+AX14/AX$6*Mapping!$G$23)/SUM(Mapping!$G$15:$G$23),"")</f>
        <v/>
      </c>
      <c r="BI14" s="64">
        <f>IFERROR((AP14/AP$6*Mapping!$H$15+AQ14/AQ$6*Mapping!$H$16+AR14/AR$6*Mapping!$H$17+AS14/AS$6*Mapping!$H$18+AT14/AT$6*Mapping!$H$19+AU14/AU$6*Mapping!$H$20+AV14/AV$6*Mapping!$H$21+AW14/AW$6*Mapping!$H$22+AX14/AX$6*Mapping!$H$23)/SUM(Mapping!$H$15:$H$23),"")</f>
        <v/>
      </c>
      <c r="BJ14" s="64">
        <f>IFERROR((AP14/AP$6*Mapping!$I$15+AQ14/AQ$6*Mapping!$I$16+AR14/AR$6*Mapping!$I$17+AS14/AS$6*Mapping!$I$18+AT14/AT$6*Mapping!$I$19+AU14/AU$6*Mapping!$I$20+AV14/AV$6*Mapping!$I$21+AW14/AW$6*Mapping!$I$22+AX14/AX$6*Mapping!$I$23)/SUM(Mapping!$I$15:$I$23),"")</f>
        <v/>
      </c>
      <c r="BK14" s="64">
        <f>IFERROR((AP14/AP$6*Mapping!$J$15+AQ14/AQ$6*Mapping!$J$16+AR14/AR$6*Mapping!$J$17+AS14/AS$6*Mapping!$J$18+AT14/AT$6*Mapping!$J$19+AU14/AU$6*Mapping!$J$20+AV14/AV$6*Mapping!$J$21+AW14/AW$6*Mapping!$J$22+AX14/AX$6*Mapping!$J$23)/SUM(Mapping!$J$15:$J$23),"")</f>
        <v/>
      </c>
      <c r="BL14" s="64">
        <f>IFERROR((AP14/AP$6*Mapping!$K$15+AQ14/AQ$6*Mapping!$K$16+AR14/AR$6*Mapping!$K$17+AS14/AS$6*Mapping!$K$18+AT14/AT$6*Mapping!$K$19+AU14/AU$6*Mapping!$K$20+AV14/AV$6*Mapping!$K$21+AW14/AW$6*Mapping!$K$22+AX14/AX$6*Mapping!$K$23)/SUM(Mapping!$K$15:$K$23),"")</f>
        <v/>
      </c>
      <c r="BM14" s="64">
        <f>IFERROR((AP14/AP$6*Mapping!$L$15+AQ14/AQ$6*Mapping!$L$16+AR14/AR$6*Mapping!$L$17+AS14/AS$6*Mapping!$L$18+AT14/AT$6*Mapping!$L$19+AU14/AU$6*Mapping!$L$20+AV14/AV$6*Mapping!$L$21+AW14/AW$6*Mapping!$L$22+AX14/AX$6*Mapping!$L$23)/SUM(Mapping!$L$15:$L$23),"")</f>
        <v/>
      </c>
      <c r="BN14" s="64">
        <f>IFERROR((AP14/AP$6*Mapping!$M$15+AQ14/AQ$6*Mapping!$M$16+AR14/AR$6*Mapping!$M$17+AS14/AS$6*Mapping!$M$18+AT14/AT$6*Mapping!$M$19+AU14/AU$6*Mapping!$M$20+AV14/AV$6*Mapping!$M$21+AW14/AW$6*Mapping!$M$22+AX14/AX$6*Mapping!$M$23)/SUM(Mapping!$M$15:$M$23),"")</f>
        <v/>
      </c>
      <c r="BO14" s="64">
        <f>IFERROR((AP14/AP$6*Mapping!$N$15+AQ14/AQ$6*Mapping!$N$16+AR14/AR$6*Mapping!$N$17+AS14/AS$6*Mapping!$N$18+AT14/AT$6*Mapping!$N$19+AU14/AU$6*Mapping!$N$20+AV14/AV$6*Mapping!$N$21+AW14/AW$6*Mapping!$N$22+AX14/AX$6*Mapping!$N$23)/SUM(Mapping!$N$15:$N$23),"")</f>
        <v/>
      </c>
      <c r="BP14" s="64">
        <f>IFERROR((AP14/AP$6*Mapping!$O$15+AQ14/AQ$6*Mapping!$O$16+AR14/AR$6*Mapping!$O$17+AS14/AS$6*Mapping!$O$18+AT14/AT$6*Mapping!$O$19+AU14/AU$6*Mapping!$O$20+AV14/AV$6*Mapping!$O$21+AW14/AW$6*Mapping!$O$22+AX14/AX$6*Mapping!$O$23)/SUM(Mapping!$O$15:$O$23),"")</f>
        <v/>
      </c>
      <c r="BQ14" s="64">
        <f>IFERROR((AP14/AP$6*Mapping!$P$15+AQ14/AQ$6*Mapping!$P$16+AR14/AR$6*Mapping!$P$17+AS14/AS$6*Mapping!$P$18+AT14/AT$6*Mapping!$P$19+AU14/AU$6*Mapping!$P$20+AV14/AV$6*Mapping!$P$21+AW14/AW$6*Mapping!$P$22+AX14/AX$6*Mapping!$P$23)/SUM(Mapping!$P$15:$P$23),"")</f>
        <v/>
      </c>
      <c r="BR14" s="65">
        <f>IF(BA14="","",BA14+N(AS14)/10000)</f>
        <v/>
      </c>
    </row>
    <row r="15" ht="30" customHeight="1">
      <c r="A15" s="28" t="n">
        <v>9</v>
      </c>
      <c r="B15" s="29" t="inlineStr">
        <is>
          <t>3rd Sem - B</t>
        </is>
      </c>
      <c r="C15" s="29" t="n"/>
      <c r="D15" s="6" t="n"/>
      <c r="E15" s="6" t="n"/>
      <c r="F15" s="29" t="n"/>
      <c r="G15" s="29" t="n"/>
      <c r="H15" s="6" t="n"/>
      <c r="I15" s="29" t="n"/>
      <c r="J15" s="29" t="n"/>
      <c r="K15" s="29" t="n"/>
      <c r="L15" s="29" t="n"/>
      <c r="M15" s="29" t="n"/>
      <c r="N15" s="29" t="n"/>
      <c r="O15" s="29" t="n"/>
      <c r="P15" s="29" t="n"/>
      <c r="Q15" s="29" t="n"/>
      <c r="R15" s="29" t="n"/>
      <c r="S15" s="29" t="n"/>
      <c r="T15" s="29" t="n"/>
      <c r="U15" s="29" t="n"/>
      <c r="V15" s="29" t="n"/>
      <c r="W15" s="29" t="n"/>
      <c r="X15" s="29" t="n"/>
      <c r="Y15" s="29" t="n"/>
      <c r="Z15" s="29" t="n"/>
      <c r="AA15" s="29" t="n"/>
      <c r="AB15" s="29" t="n"/>
      <c r="AC15" s="29" t="n"/>
      <c r="AD15" s="29" t="n"/>
      <c r="AE15" s="29" t="n"/>
      <c r="AF15" s="29" t="n"/>
      <c r="AG15" s="29" t="n"/>
      <c r="AH15" s="29" t="n"/>
      <c r="AI15" s="29" t="n"/>
      <c r="AJ15" s="29" t="n"/>
      <c r="AK15" s="29" t="n"/>
      <c r="AL15" s="29" t="n"/>
      <c r="AM15" s="29" t="n"/>
      <c r="AN15" s="29" t="n"/>
      <c r="AO15" s="29" t="n"/>
      <c r="AP15" s="59">
        <f>IF(COUNT(I15,T15,AE15)=0,"",AVERAGE(I15,T15,AE15))</f>
        <v/>
      </c>
      <c r="AQ15" s="59">
        <f>IF(COUNT(J15,U15,AF15)=0,"",AVERAGE(J15,U15,AF15))</f>
        <v/>
      </c>
      <c r="AR15" s="59">
        <f>IF(COUNT(K15,V15,AG15)=0,"",AVERAGE(K15,V15,AG15))</f>
        <v/>
      </c>
      <c r="AS15" s="59">
        <f>IF(COUNT(L15,W15,AH15)=0,"",AVERAGE(L15,W15,AH15))</f>
        <v/>
      </c>
      <c r="AT15" s="59">
        <f>IF(COUNT(M15,X15,AI15)=0,"",AVERAGE(M15,X15,AI15))</f>
        <v/>
      </c>
      <c r="AU15" s="59">
        <f>IF(COUNT(N15,Y15,AJ15)=0,"",AVERAGE(N15,Y15,AJ15))</f>
        <v/>
      </c>
      <c r="AV15" s="59">
        <f>IF(COUNT(O15,Z15,AK15)=0,"",AVERAGE(O15,Z15,AK15))</f>
        <v/>
      </c>
      <c r="AW15" s="59">
        <f>IF(COUNT(P15,AA15,AL15)=0,"",AVERAGE(P15,AA15,AL15))</f>
        <v/>
      </c>
      <c r="AX15" s="59">
        <f>IF(COUNT(Q15,AB15,AM15)=0,"",AVERAGE(Q15,AB15,AM15))</f>
        <v/>
      </c>
      <c r="AY15" s="60">
        <f>IF(OR($F15="",COUNT(R15,AC15,AN15)=0),"",AVERAGE(R15,AC15,AN15))</f>
        <v/>
      </c>
      <c r="AZ15" s="60">
        <f>IF(OR($G15="",$G15=$F15,COUNT(S15,AD15,AO15)=0),"",AVERAGE(S15,AD15,AO15))</f>
        <v/>
      </c>
      <c r="BA15" s="61">
        <f>IF(COUNT(AP15:AX15)=0,"",SUM(AP15:AX15))</f>
        <v/>
      </c>
      <c r="BB15" s="62">
        <f>IF(BA15="","",BA15/BA$6)</f>
        <v/>
      </c>
      <c r="BC15" s="14">
        <f>IF(BR15="","",COUNTIF($BR$7:$BR$26,"&gt;"&amp;BR15)+COUNTIF($BR$7:BR15,BR15))</f>
        <v/>
      </c>
      <c r="BD15" s="63">
        <f>IF(BC15="","",IF(BC15&lt;=Mapping!$C$11,"Shortlisted","Not shortlisted"))</f>
        <v/>
      </c>
      <c r="BE15" s="64">
        <f>IFERROR((AP15/AP$6*Mapping!$D$15+AQ15/AQ$6*Mapping!$D$16+AR15/AR$6*Mapping!$D$17+AS15/AS$6*Mapping!$D$18+AT15/AT$6*Mapping!$D$19+AU15/AU$6*Mapping!$D$20+AV15/AV$6*Mapping!$D$21+AW15/AW$6*Mapping!$D$22+AX15/AX$6*Mapping!$D$23)/SUM(Mapping!$D$15:$D$23),"")</f>
        <v/>
      </c>
      <c r="BF15" s="64">
        <f>IFERROR((AP15/AP$6*Mapping!$E$15+AQ15/AQ$6*Mapping!$E$16+AR15/AR$6*Mapping!$E$17+AS15/AS$6*Mapping!$E$18+AT15/AT$6*Mapping!$E$19+AU15/AU$6*Mapping!$E$20+AV15/AV$6*Mapping!$E$21+AW15/AW$6*Mapping!$E$22+AX15/AX$6*Mapping!$E$23)/SUM(Mapping!$E$15:$E$23),"")</f>
        <v/>
      </c>
      <c r="BG15" s="64">
        <f>IFERROR((AP15/AP$6*Mapping!$F$15+AQ15/AQ$6*Mapping!$F$16+AR15/AR$6*Mapping!$F$17+AS15/AS$6*Mapping!$F$18+AT15/AT$6*Mapping!$F$19+AU15/AU$6*Mapping!$F$20+AV15/AV$6*Mapping!$F$21+AW15/AW$6*Mapping!$F$22+AX15/AX$6*Mapping!$F$23)/SUM(Mapping!$F$15:$F$23),"")</f>
        <v/>
      </c>
      <c r="BH15" s="64">
        <f>IFERROR((AP15/AP$6*Mapping!$G$15+AQ15/AQ$6*Mapping!$G$16+AR15/AR$6*Mapping!$G$17+AS15/AS$6*Mapping!$G$18+AT15/AT$6*Mapping!$G$19+AU15/AU$6*Mapping!$G$20+AV15/AV$6*Mapping!$G$21+AW15/AW$6*Mapping!$G$22+AX15/AX$6*Mapping!$G$23)/SUM(Mapping!$G$15:$G$23),"")</f>
        <v/>
      </c>
      <c r="BI15" s="64">
        <f>IFERROR((AP15/AP$6*Mapping!$H$15+AQ15/AQ$6*Mapping!$H$16+AR15/AR$6*Mapping!$H$17+AS15/AS$6*Mapping!$H$18+AT15/AT$6*Mapping!$H$19+AU15/AU$6*Mapping!$H$20+AV15/AV$6*Mapping!$H$21+AW15/AW$6*Mapping!$H$22+AX15/AX$6*Mapping!$H$23)/SUM(Mapping!$H$15:$H$23),"")</f>
        <v/>
      </c>
      <c r="BJ15" s="64">
        <f>IFERROR((AP15/AP$6*Mapping!$I$15+AQ15/AQ$6*Mapping!$I$16+AR15/AR$6*Mapping!$I$17+AS15/AS$6*Mapping!$I$18+AT15/AT$6*Mapping!$I$19+AU15/AU$6*Mapping!$I$20+AV15/AV$6*Mapping!$I$21+AW15/AW$6*Mapping!$I$22+AX15/AX$6*Mapping!$I$23)/SUM(Mapping!$I$15:$I$23),"")</f>
        <v/>
      </c>
      <c r="BK15" s="64">
        <f>IFERROR((AP15/AP$6*Mapping!$J$15+AQ15/AQ$6*Mapping!$J$16+AR15/AR$6*Mapping!$J$17+AS15/AS$6*Mapping!$J$18+AT15/AT$6*Mapping!$J$19+AU15/AU$6*Mapping!$J$20+AV15/AV$6*Mapping!$J$21+AW15/AW$6*Mapping!$J$22+AX15/AX$6*Mapping!$J$23)/SUM(Mapping!$J$15:$J$23),"")</f>
        <v/>
      </c>
      <c r="BL15" s="64">
        <f>IFERROR((AP15/AP$6*Mapping!$K$15+AQ15/AQ$6*Mapping!$K$16+AR15/AR$6*Mapping!$K$17+AS15/AS$6*Mapping!$K$18+AT15/AT$6*Mapping!$K$19+AU15/AU$6*Mapping!$K$20+AV15/AV$6*Mapping!$K$21+AW15/AW$6*Mapping!$K$22+AX15/AX$6*Mapping!$K$23)/SUM(Mapping!$K$15:$K$23),"")</f>
        <v/>
      </c>
      <c r="BM15" s="64">
        <f>IFERROR((AP15/AP$6*Mapping!$L$15+AQ15/AQ$6*Mapping!$L$16+AR15/AR$6*Mapping!$L$17+AS15/AS$6*Mapping!$L$18+AT15/AT$6*Mapping!$L$19+AU15/AU$6*Mapping!$L$20+AV15/AV$6*Mapping!$L$21+AW15/AW$6*Mapping!$L$22+AX15/AX$6*Mapping!$L$23)/SUM(Mapping!$L$15:$L$23),"")</f>
        <v/>
      </c>
      <c r="BN15" s="64">
        <f>IFERROR((AP15/AP$6*Mapping!$M$15+AQ15/AQ$6*Mapping!$M$16+AR15/AR$6*Mapping!$M$17+AS15/AS$6*Mapping!$M$18+AT15/AT$6*Mapping!$M$19+AU15/AU$6*Mapping!$M$20+AV15/AV$6*Mapping!$M$21+AW15/AW$6*Mapping!$M$22+AX15/AX$6*Mapping!$M$23)/SUM(Mapping!$M$15:$M$23),"")</f>
        <v/>
      </c>
      <c r="BO15" s="64">
        <f>IFERROR((AP15/AP$6*Mapping!$N$15+AQ15/AQ$6*Mapping!$N$16+AR15/AR$6*Mapping!$N$17+AS15/AS$6*Mapping!$N$18+AT15/AT$6*Mapping!$N$19+AU15/AU$6*Mapping!$N$20+AV15/AV$6*Mapping!$N$21+AW15/AW$6*Mapping!$N$22+AX15/AX$6*Mapping!$N$23)/SUM(Mapping!$N$15:$N$23),"")</f>
        <v/>
      </c>
      <c r="BP15" s="64">
        <f>IFERROR((AP15/AP$6*Mapping!$O$15+AQ15/AQ$6*Mapping!$O$16+AR15/AR$6*Mapping!$O$17+AS15/AS$6*Mapping!$O$18+AT15/AT$6*Mapping!$O$19+AU15/AU$6*Mapping!$O$20+AV15/AV$6*Mapping!$O$21+AW15/AW$6*Mapping!$O$22+AX15/AX$6*Mapping!$O$23)/SUM(Mapping!$O$15:$O$23),"")</f>
        <v/>
      </c>
      <c r="BQ15" s="64">
        <f>IFERROR((AP15/AP$6*Mapping!$P$15+AQ15/AQ$6*Mapping!$P$16+AR15/AR$6*Mapping!$P$17+AS15/AS$6*Mapping!$P$18+AT15/AT$6*Mapping!$P$19+AU15/AU$6*Mapping!$P$20+AV15/AV$6*Mapping!$P$21+AW15/AW$6*Mapping!$P$22+AX15/AX$6*Mapping!$P$23)/SUM(Mapping!$P$15:$P$23),"")</f>
        <v/>
      </c>
      <c r="BR15" s="65">
        <f>IF(BA15="","",BA15+N(AS15)/10000)</f>
        <v/>
      </c>
    </row>
    <row r="16" ht="30" customHeight="1">
      <c r="A16" s="28" t="n">
        <v>10</v>
      </c>
      <c r="B16" s="29" t="inlineStr">
        <is>
          <t>3rd Sem - B</t>
        </is>
      </c>
      <c r="C16" s="29" t="n"/>
      <c r="D16" s="6" t="n"/>
      <c r="E16" s="6" t="n"/>
      <c r="F16" s="29" t="n"/>
      <c r="G16" s="29" t="n"/>
      <c r="H16" s="6" t="n"/>
      <c r="I16" s="29" t="n"/>
      <c r="J16" s="29" t="n"/>
      <c r="K16" s="29" t="n"/>
      <c r="L16" s="29" t="n"/>
      <c r="M16" s="29" t="n"/>
      <c r="N16" s="29" t="n"/>
      <c r="O16" s="29" t="n"/>
      <c r="P16" s="29" t="n"/>
      <c r="Q16" s="29" t="n"/>
      <c r="R16" s="29" t="n"/>
      <c r="S16" s="29" t="n"/>
      <c r="T16" s="29" t="n"/>
      <c r="U16" s="29" t="n"/>
      <c r="V16" s="29" t="n"/>
      <c r="W16" s="29" t="n"/>
      <c r="X16" s="29" t="n"/>
      <c r="Y16" s="29" t="n"/>
      <c r="Z16" s="29" t="n"/>
      <c r="AA16" s="29" t="n"/>
      <c r="AB16" s="29" t="n"/>
      <c r="AC16" s="29" t="n"/>
      <c r="AD16" s="29" t="n"/>
      <c r="AE16" s="29" t="n"/>
      <c r="AF16" s="29" t="n"/>
      <c r="AG16" s="29" t="n"/>
      <c r="AH16" s="29" t="n"/>
      <c r="AI16" s="29" t="n"/>
      <c r="AJ16" s="29" t="n"/>
      <c r="AK16" s="29" t="n"/>
      <c r="AL16" s="29" t="n"/>
      <c r="AM16" s="29" t="n"/>
      <c r="AN16" s="29" t="n"/>
      <c r="AO16" s="29" t="n"/>
      <c r="AP16" s="59">
        <f>IF(COUNT(I16,T16,AE16)=0,"",AVERAGE(I16,T16,AE16))</f>
        <v/>
      </c>
      <c r="AQ16" s="59">
        <f>IF(COUNT(J16,U16,AF16)=0,"",AVERAGE(J16,U16,AF16))</f>
        <v/>
      </c>
      <c r="AR16" s="59">
        <f>IF(COUNT(K16,V16,AG16)=0,"",AVERAGE(K16,V16,AG16))</f>
        <v/>
      </c>
      <c r="AS16" s="59">
        <f>IF(COUNT(L16,W16,AH16)=0,"",AVERAGE(L16,W16,AH16))</f>
        <v/>
      </c>
      <c r="AT16" s="59">
        <f>IF(COUNT(M16,X16,AI16)=0,"",AVERAGE(M16,X16,AI16))</f>
        <v/>
      </c>
      <c r="AU16" s="59">
        <f>IF(COUNT(N16,Y16,AJ16)=0,"",AVERAGE(N16,Y16,AJ16))</f>
        <v/>
      </c>
      <c r="AV16" s="59">
        <f>IF(COUNT(O16,Z16,AK16)=0,"",AVERAGE(O16,Z16,AK16))</f>
        <v/>
      </c>
      <c r="AW16" s="59">
        <f>IF(COUNT(P16,AA16,AL16)=0,"",AVERAGE(P16,AA16,AL16))</f>
        <v/>
      </c>
      <c r="AX16" s="59">
        <f>IF(COUNT(Q16,AB16,AM16)=0,"",AVERAGE(Q16,AB16,AM16))</f>
        <v/>
      </c>
      <c r="AY16" s="60">
        <f>IF(OR($F16="",COUNT(R16,AC16,AN16)=0),"",AVERAGE(R16,AC16,AN16))</f>
        <v/>
      </c>
      <c r="AZ16" s="60">
        <f>IF(OR($G16="",$G16=$F16,COUNT(S16,AD16,AO16)=0),"",AVERAGE(S16,AD16,AO16))</f>
        <v/>
      </c>
      <c r="BA16" s="61">
        <f>IF(COUNT(AP16:AX16)=0,"",SUM(AP16:AX16))</f>
        <v/>
      </c>
      <c r="BB16" s="62">
        <f>IF(BA16="","",BA16/BA$6)</f>
        <v/>
      </c>
      <c r="BC16" s="14">
        <f>IF(BR16="","",COUNTIF($BR$7:$BR$26,"&gt;"&amp;BR16)+COUNTIF($BR$7:BR16,BR16))</f>
        <v/>
      </c>
      <c r="BD16" s="63">
        <f>IF(BC16="","",IF(BC16&lt;=Mapping!$C$11,"Shortlisted","Not shortlisted"))</f>
        <v/>
      </c>
      <c r="BE16" s="64">
        <f>IFERROR((AP16/AP$6*Mapping!$D$15+AQ16/AQ$6*Mapping!$D$16+AR16/AR$6*Mapping!$D$17+AS16/AS$6*Mapping!$D$18+AT16/AT$6*Mapping!$D$19+AU16/AU$6*Mapping!$D$20+AV16/AV$6*Mapping!$D$21+AW16/AW$6*Mapping!$D$22+AX16/AX$6*Mapping!$D$23)/SUM(Mapping!$D$15:$D$23),"")</f>
        <v/>
      </c>
      <c r="BF16" s="64">
        <f>IFERROR((AP16/AP$6*Mapping!$E$15+AQ16/AQ$6*Mapping!$E$16+AR16/AR$6*Mapping!$E$17+AS16/AS$6*Mapping!$E$18+AT16/AT$6*Mapping!$E$19+AU16/AU$6*Mapping!$E$20+AV16/AV$6*Mapping!$E$21+AW16/AW$6*Mapping!$E$22+AX16/AX$6*Mapping!$E$23)/SUM(Mapping!$E$15:$E$23),"")</f>
        <v/>
      </c>
      <c r="BG16" s="64">
        <f>IFERROR((AP16/AP$6*Mapping!$F$15+AQ16/AQ$6*Mapping!$F$16+AR16/AR$6*Mapping!$F$17+AS16/AS$6*Mapping!$F$18+AT16/AT$6*Mapping!$F$19+AU16/AU$6*Mapping!$F$20+AV16/AV$6*Mapping!$F$21+AW16/AW$6*Mapping!$F$22+AX16/AX$6*Mapping!$F$23)/SUM(Mapping!$F$15:$F$23),"")</f>
        <v/>
      </c>
      <c r="BH16" s="64">
        <f>IFERROR((AP16/AP$6*Mapping!$G$15+AQ16/AQ$6*Mapping!$G$16+AR16/AR$6*Mapping!$G$17+AS16/AS$6*Mapping!$G$18+AT16/AT$6*Mapping!$G$19+AU16/AU$6*Mapping!$G$20+AV16/AV$6*Mapping!$G$21+AW16/AW$6*Mapping!$G$22+AX16/AX$6*Mapping!$G$23)/SUM(Mapping!$G$15:$G$23),"")</f>
        <v/>
      </c>
      <c r="BI16" s="64">
        <f>IFERROR((AP16/AP$6*Mapping!$H$15+AQ16/AQ$6*Mapping!$H$16+AR16/AR$6*Mapping!$H$17+AS16/AS$6*Mapping!$H$18+AT16/AT$6*Mapping!$H$19+AU16/AU$6*Mapping!$H$20+AV16/AV$6*Mapping!$H$21+AW16/AW$6*Mapping!$H$22+AX16/AX$6*Mapping!$H$23)/SUM(Mapping!$H$15:$H$23),"")</f>
        <v/>
      </c>
      <c r="BJ16" s="64">
        <f>IFERROR((AP16/AP$6*Mapping!$I$15+AQ16/AQ$6*Mapping!$I$16+AR16/AR$6*Mapping!$I$17+AS16/AS$6*Mapping!$I$18+AT16/AT$6*Mapping!$I$19+AU16/AU$6*Mapping!$I$20+AV16/AV$6*Mapping!$I$21+AW16/AW$6*Mapping!$I$22+AX16/AX$6*Mapping!$I$23)/SUM(Mapping!$I$15:$I$23),"")</f>
        <v/>
      </c>
      <c r="BK16" s="64">
        <f>IFERROR((AP16/AP$6*Mapping!$J$15+AQ16/AQ$6*Mapping!$J$16+AR16/AR$6*Mapping!$J$17+AS16/AS$6*Mapping!$J$18+AT16/AT$6*Mapping!$J$19+AU16/AU$6*Mapping!$J$20+AV16/AV$6*Mapping!$J$21+AW16/AW$6*Mapping!$J$22+AX16/AX$6*Mapping!$J$23)/SUM(Mapping!$J$15:$J$23),"")</f>
        <v/>
      </c>
      <c r="BL16" s="64">
        <f>IFERROR((AP16/AP$6*Mapping!$K$15+AQ16/AQ$6*Mapping!$K$16+AR16/AR$6*Mapping!$K$17+AS16/AS$6*Mapping!$K$18+AT16/AT$6*Mapping!$K$19+AU16/AU$6*Mapping!$K$20+AV16/AV$6*Mapping!$K$21+AW16/AW$6*Mapping!$K$22+AX16/AX$6*Mapping!$K$23)/SUM(Mapping!$K$15:$K$23),"")</f>
        <v/>
      </c>
      <c r="BM16" s="64">
        <f>IFERROR((AP16/AP$6*Mapping!$L$15+AQ16/AQ$6*Mapping!$L$16+AR16/AR$6*Mapping!$L$17+AS16/AS$6*Mapping!$L$18+AT16/AT$6*Mapping!$L$19+AU16/AU$6*Mapping!$L$20+AV16/AV$6*Mapping!$L$21+AW16/AW$6*Mapping!$L$22+AX16/AX$6*Mapping!$L$23)/SUM(Mapping!$L$15:$L$23),"")</f>
        <v/>
      </c>
      <c r="BN16" s="64">
        <f>IFERROR((AP16/AP$6*Mapping!$M$15+AQ16/AQ$6*Mapping!$M$16+AR16/AR$6*Mapping!$M$17+AS16/AS$6*Mapping!$M$18+AT16/AT$6*Mapping!$M$19+AU16/AU$6*Mapping!$M$20+AV16/AV$6*Mapping!$M$21+AW16/AW$6*Mapping!$M$22+AX16/AX$6*Mapping!$M$23)/SUM(Mapping!$M$15:$M$23),"")</f>
        <v/>
      </c>
      <c r="BO16" s="64">
        <f>IFERROR((AP16/AP$6*Mapping!$N$15+AQ16/AQ$6*Mapping!$N$16+AR16/AR$6*Mapping!$N$17+AS16/AS$6*Mapping!$N$18+AT16/AT$6*Mapping!$N$19+AU16/AU$6*Mapping!$N$20+AV16/AV$6*Mapping!$N$21+AW16/AW$6*Mapping!$N$22+AX16/AX$6*Mapping!$N$23)/SUM(Mapping!$N$15:$N$23),"")</f>
        <v/>
      </c>
      <c r="BP16" s="64">
        <f>IFERROR((AP16/AP$6*Mapping!$O$15+AQ16/AQ$6*Mapping!$O$16+AR16/AR$6*Mapping!$O$17+AS16/AS$6*Mapping!$O$18+AT16/AT$6*Mapping!$O$19+AU16/AU$6*Mapping!$O$20+AV16/AV$6*Mapping!$O$21+AW16/AW$6*Mapping!$O$22+AX16/AX$6*Mapping!$O$23)/SUM(Mapping!$O$15:$O$23),"")</f>
        <v/>
      </c>
      <c r="BQ16" s="64">
        <f>IFERROR((AP16/AP$6*Mapping!$P$15+AQ16/AQ$6*Mapping!$P$16+AR16/AR$6*Mapping!$P$17+AS16/AS$6*Mapping!$P$18+AT16/AT$6*Mapping!$P$19+AU16/AU$6*Mapping!$P$20+AV16/AV$6*Mapping!$P$21+AW16/AW$6*Mapping!$P$22+AX16/AX$6*Mapping!$P$23)/SUM(Mapping!$P$15:$P$23),"")</f>
        <v/>
      </c>
      <c r="BR16" s="65">
        <f>IF(BA16="","",BA16+N(AS16)/10000)</f>
        <v/>
      </c>
    </row>
    <row r="17" ht="30" customHeight="1">
      <c r="A17" s="28" t="n">
        <v>11</v>
      </c>
      <c r="B17" s="29" t="inlineStr">
        <is>
          <t>3rd Sem - B</t>
        </is>
      </c>
      <c r="C17" s="29" t="n"/>
      <c r="D17" s="6" t="n"/>
      <c r="E17" s="6" t="n"/>
      <c r="F17" s="29" t="n"/>
      <c r="G17" s="29" t="n"/>
      <c r="H17" s="6" t="n"/>
      <c r="I17" s="29" t="n"/>
      <c r="J17" s="29" t="n"/>
      <c r="K17" s="29" t="n"/>
      <c r="L17" s="29" t="n"/>
      <c r="M17" s="29" t="n"/>
      <c r="N17" s="29" t="n"/>
      <c r="O17" s="29" t="n"/>
      <c r="P17" s="29" t="n"/>
      <c r="Q17" s="29" t="n"/>
      <c r="R17" s="29" t="n"/>
      <c r="S17" s="29" t="n"/>
      <c r="T17" s="29" t="n"/>
      <c r="U17" s="29" t="n"/>
      <c r="V17" s="29" t="n"/>
      <c r="W17" s="29" t="n"/>
      <c r="X17" s="29" t="n"/>
      <c r="Y17" s="29" t="n"/>
      <c r="Z17" s="29" t="n"/>
      <c r="AA17" s="29" t="n"/>
      <c r="AB17" s="29" t="n"/>
      <c r="AC17" s="29" t="n"/>
      <c r="AD17" s="29" t="n"/>
      <c r="AE17" s="29" t="n"/>
      <c r="AF17" s="29" t="n"/>
      <c r="AG17" s="29" t="n"/>
      <c r="AH17" s="29" t="n"/>
      <c r="AI17" s="29" t="n"/>
      <c r="AJ17" s="29" t="n"/>
      <c r="AK17" s="29" t="n"/>
      <c r="AL17" s="29" t="n"/>
      <c r="AM17" s="29" t="n"/>
      <c r="AN17" s="29" t="n"/>
      <c r="AO17" s="29" t="n"/>
      <c r="AP17" s="59">
        <f>IF(COUNT(I17,T17,AE17)=0,"",AVERAGE(I17,T17,AE17))</f>
        <v/>
      </c>
      <c r="AQ17" s="59">
        <f>IF(COUNT(J17,U17,AF17)=0,"",AVERAGE(J17,U17,AF17))</f>
        <v/>
      </c>
      <c r="AR17" s="59">
        <f>IF(COUNT(K17,V17,AG17)=0,"",AVERAGE(K17,V17,AG17))</f>
        <v/>
      </c>
      <c r="AS17" s="59">
        <f>IF(COUNT(L17,W17,AH17)=0,"",AVERAGE(L17,W17,AH17))</f>
        <v/>
      </c>
      <c r="AT17" s="59">
        <f>IF(COUNT(M17,X17,AI17)=0,"",AVERAGE(M17,X17,AI17))</f>
        <v/>
      </c>
      <c r="AU17" s="59">
        <f>IF(COUNT(N17,Y17,AJ17)=0,"",AVERAGE(N17,Y17,AJ17))</f>
        <v/>
      </c>
      <c r="AV17" s="59">
        <f>IF(COUNT(O17,Z17,AK17)=0,"",AVERAGE(O17,Z17,AK17))</f>
        <v/>
      </c>
      <c r="AW17" s="59">
        <f>IF(COUNT(P17,AA17,AL17)=0,"",AVERAGE(P17,AA17,AL17))</f>
        <v/>
      </c>
      <c r="AX17" s="59">
        <f>IF(COUNT(Q17,AB17,AM17)=0,"",AVERAGE(Q17,AB17,AM17))</f>
        <v/>
      </c>
      <c r="AY17" s="60">
        <f>IF(OR($F17="",COUNT(R17,AC17,AN17)=0),"",AVERAGE(R17,AC17,AN17))</f>
        <v/>
      </c>
      <c r="AZ17" s="60">
        <f>IF(OR($G17="",$G17=$F17,COUNT(S17,AD17,AO17)=0),"",AVERAGE(S17,AD17,AO17))</f>
        <v/>
      </c>
      <c r="BA17" s="61">
        <f>IF(COUNT(AP17:AX17)=0,"",SUM(AP17:AX17))</f>
        <v/>
      </c>
      <c r="BB17" s="62">
        <f>IF(BA17="","",BA17/BA$6)</f>
        <v/>
      </c>
      <c r="BC17" s="14">
        <f>IF(BR17="","",COUNTIF($BR$7:$BR$26,"&gt;"&amp;BR17)+COUNTIF($BR$7:BR17,BR17))</f>
        <v/>
      </c>
      <c r="BD17" s="63">
        <f>IF(BC17="","",IF(BC17&lt;=Mapping!$C$11,"Shortlisted","Not shortlisted"))</f>
        <v/>
      </c>
      <c r="BE17" s="64">
        <f>IFERROR((AP17/AP$6*Mapping!$D$15+AQ17/AQ$6*Mapping!$D$16+AR17/AR$6*Mapping!$D$17+AS17/AS$6*Mapping!$D$18+AT17/AT$6*Mapping!$D$19+AU17/AU$6*Mapping!$D$20+AV17/AV$6*Mapping!$D$21+AW17/AW$6*Mapping!$D$22+AX17/AX$6*Mapping!$D$23)/SUM(Mapping!$D$15:$D$23),"")</f>
        <v/>
      </c>
      <c r="BF17" s="64">
        <f>IFERROR((AP17/AP$6*Mapping!$E$15+AQ17/AQ$6*Mapping!$E$16+AR17/AR$6*Mapping!$E$17+AS17/AS$6*Mapping!$E$18+AT17/AT$6*Mapping!$E$19+AU17/AU$6*Mapping!$E$20+AV17/AV$6*Mapping!$E$21+AW17/AW$6*Mapping!$E$22+AX17/AX$6*Mapping!$E$23)/SUM(Mapping!$E$15:$E$23),"")</f>
        <v/>
      </c>
      <c r="BG17" s="64">
        <f>IFERROR((AP17/AP$6*Mapping!$F$15+AQ17/AQ$6*Mapping!$F$16+AR17/AR$6*Mapping!$F$17+AS17/AS$6*Mapping!$F$18+AT17/AT$6*Mapping!$F$19+AU17/AU$6*Mapping!$F$20+AV17/AV$6*Mapping!$F$21+AW17/AW$6*Mapping!$F$22+AX17/AX$6*Mapping!$F$23)/SUM(Mapping!$F$15:$F$23),"")</f>
        <v/>
      </c>
      <c r="BH17" s="64">
        <f>IFERROR((AP17/AP$6*Mapping!$G$15+AQ17/AQ$6*Mapping!$G$16+AR17/AR$6*Mapping!$G$17+AS17/AS$6*Mapping!$G$18+AT17/AT$6*Mapping!$G$19+AU17/AU$6*Mapping!$G$20+AV17/AV$6*Mapping!$G$21+AW17/AW$6*Mapping!$G$22+AX17/AX$6*Mapping!$G$23)/SUM(Mapping!$G$15:$G$23),"")</f>
        <v/>
      </c>
      <c r="BI17" s="64">
        <f>IFERROR((AP17/AP$6*Mapping!$H$15+AQ17/AQ$6*Mapping!$H$16+AR17/AR$6*Mapping!$H$17+AS17/AS$6*Mapping!$H$18+AT17/AT$6*Mapping!$H$19+AU17/AU$6*Mapping!$H$20+AV17/AV$6*Mapping!$H$21+AW17/AW$6*Mapping!$H$22+AX17/AX$6*Mapping!$H$23)/SUM(Mapping!$H$15:$H$23),"")</f>
        <v/>
      </c>
      <c r="BJ17" s="64">
        <f>IFERROR((AP17/AP$6*Mapping!$I$15+AQ17/AQ$6*Mapping!$I$16+AR17/AR$6*Mapping!$I$17+AS17/AS$6*Mapping!$I$18+AT17/AT$6*Mapping!$I$19+AU17/AU$6*Mapping!$I$20+AV17/AV$6*Mapping!$I$21+AW17/AW$6*Mapping!$I$22+AX17/AX$6*Mapping!$I$23)/SUM(Mapping!$I$15:$I$23),"")</f>
        <v/>
      </c>
      <c r="BK17" s="64">
        <f>IFERROR((AP17/AP$6*Mapping!$J$15+AQ17/AQ$6*Mapping!$J$16+AR17/AR$6*Mapping!$J$17+AS17/AS$6*Mapping!$J$18+AT17/AT$6*Mapping!$J$19+AU17/AU$6*Mapping!$J$20+AV17/AV$6*Mapping!$J$21+AW17/AW$6*Mapping!$J$22+AX17/AX$6*Mapping!$J$23)/SUM(Mapping!$J$15:$J$23),"")</f>
        <v/>
      </c>
      <c r="BL17" s="64">
        <f>IFERROR((AP17/AP$6*Mapping!$K$15+AQ17/AQ$6*Mapping!$K$16+AR17/AR$6*Mapping!$K$17+AS17/AS$6*Mapping!$K$18+AT17/AT$6*Mapping!$K$19+AU17/AU$6*Mapping!$K$20+AV17/AV$6*Mapping!$K$21+AW17/AW$6*Mapping!$K$22+AX17/AX$6*Mapping!$K$23)/SUM(Mapping!$K$15:$K$23),"")</f>
        <v/>
      </c>
      <c r="BM17" s="64">
        <f>IFERROR((AP17/AP$6*Mapping!$L$15+AQ17/AQ$6*Mapping!$L$16+AR17/AR$6*Mapping!$L$17+AS17/AS$6*Mapping!$L$18+AT17/AT$6*Mapping!$L$19+AU17/AU$6*Mapping!$L$20+AV17/AV$6*Mapping!$L$21+AW17/AW$6*Mapping!$L$22+AX17/AX$6*Mapping!$L$23)/SUM(Mapping!$L$15:$L$23),"")</f>
        <v/>
      </c>
      <c r="BN17" s="64">
        <f>IFERROR((AP17/AP$6*Mapping!$M$15+AQ17/AQ$6*Mapping!$M$16+AR17/AR$6*Mapping!$M$17+AS17/AS$6*Mapping!$M$18+AT17/AT$6*Mapping!$M$19+AU17/AU$6*Mapping!$M$20+AV17/AV$6*Mapping!$M$21+AW17/AW$6*Mapping!$M$22+AX17/AX$6*Mapping!$M$23)/SUM(Mapping!$M$15:$M$23),"")</f>
        <v/>
      </c>
      <c r="BO17" s="64">
        <f>IFERROR((AP17/AP$6*Mapping!$N$15+AQ17/AQ$6*Mapping!$N$16+AR17/AR$6*Mapping!$N$17+AS17/AS$6*Mapping!$N$18+AT17/AT$6*Mapping!$N$19+AU17/AU$6*Mapping!$N$20+AV17/AV$6*Mapping!$N$21+AW17/AW$6*Mapping!$N$22+AX17/AX$6*Mapping!$N$23)/SUM(Mapping!$N$15:$N$23),"")</f>
        <v/>
      </c>
      <c r="BP17" s="64">
        <f>IFERROR((AP17/AP$6*Mapping!$O$15+AQ17/AQ$6*Mapping!$O$16+AR17/AR$6*Mapping!$O$17+AS17/AS$6*Mapping!$O$18+AT17/AT$6*Mapping!$O$19+AU17/AU$6*Mapping!$O$20+AV17/AV$6*Mapping!$O$21+AW17/AW$6*Mapping!$O$22+AX17/AX$6*Mapping!$O$23)/SUM(Mapping!$O$15:$O$23),"")</f>
        <v/>
      </c>
      <c r="BQ17" s="64">
        <f>IFERROR((AP17/AP$6*Mapping!$P$15+AQ17/AQ$6*Mapping!$P$16+AR17/AR$6*Mapping!$P$17+AS17/AS$6*Mapping!$P$18+AT17/AT$6*Mapping!$P$19+AU17/AU$6*Mapping!$P$20+AV17/AV$6*Mapping!$P$21+AW17/AW$6*Mapping!$P$22+AX17/AX$6*Mapping!$P$23)/SUM(Mapping!$P$15:$P$23),"")</f>
        <v/>
      </c>
      <c r="BR17" s="65">
        <f>IF(BA17="","",BA17+N(AS17)/10000)</f>
        <v/>
      </c>
    </row>
    <row r="18" ht="30" customHeight="1">
      <c r="A18" s="28" t="n">
        <v>12</v>
      </c>
      <c r="B18" s="29" t="inlineStr">
        <is>
          <t>3rd Sem - B</t>
        </is>
      </c>
      <c r="C18" s="29" t="n"/>
      <c r="D18" s="6" t="n"/>
      <c r="E18" s="6" t="n"/>
      <c r="F18" s="29" t="n"/>
      <c r="G18" s="29" t="n"/>
      <c r="H18" s="6" t="n"/>
      <c r="I18" s="29" t="n"/>
      <c r="J18" s="29" t="n"/>
      <c r="K18" s="29" t="n"/>
      <c r="L18" s="29" t="n"/>
      <c r="M18" s="29" t="n"/>
      <c r="N18" s="29" t="n"/>
      <c r="O18" s="29" t="n"/>
      <c r="P18" s="29" t="n"/>
      <c r="Q18" s="29" t="n"/>
      <c r="R18" s="29" t="n"/>
      <c r="S18" s="29" t="n"/>
      <c r="T18" s="29" t="n"/>
      <c r="U18" s="29" t="n"/>
      <c r="V18" s="29" t="n"/>
      <c r="W18" s="29" t="n"/>
      <c r="X18" s="29" t="n"/>
      <c r="Y18" s="29" t="n"/>
      <c r="Z18" s="29" t="n"/>
      <c r="AA18" s="29" t="n"/>
      <c r="AB18" s="29" t="n"/>
      <c r="AC18" s="29" t="n"/>
      <c r="AD18" s="29" t="n"/>
      <c r="AE18" s="29" t="n"/>
      <c r="AF18" s="29" t="n"/>
      <c r="AG18" s="29" t="n"/>
      <c r="AH18" s="29" t="n"/>
      <c r="AI18" s="29" t="n"/>
      <c r="AJ18" s="29" t="n"/>
      <c r="AK18" s="29" t="n"/>
      <c r="AL18" s="29" t="n"/>
      <c r="AM18" s="29" t="n"/>
      <c r="AN18" s="29" t="n"/>
      <c r="AO18" s="29" t="n"/>
      <c r="AP18" s="59">
        <f>IF(COUNT(I18,T18,AE18)=0,"",AVERAGE(I18,T18,AE18))</f>
        <v/>
      </c>
      <c r="AQ18" s="59">
        <f>IF(COUNT(J18,U18,AF18)=0,"",AVERAGE(J18,U18,AF18))</f>
        <v/>
      </c>
      <c r="AR18" s="59">
        <f>IF(COUNT(K18,V18,AG18)=0,"",AVERAGE(K18,V18,AG18))</f>
        <v/>
      </c>
      <c r="AS18" s="59">
        <f>IF(COUNT(L18,W18,AH18)=0,"",AVERAGE(L18,W18,AH18))</f>
        <v/>
      </c>
      <c r="AT18" s="59">
        <f>IF(COUNT(M18,X18,AI18)=0,"",AVERAGE(M18,X18,AI18))</f>
        <v/>
      </c>
      <c r="AU18" s="59">
        <f>IF(COUNT(N18,Y18,AJ18)=0,"",AVERAGE(N18,Y18,AJ18))</f>
        <v/>
      </c>
      <c r="AV18" s="59">
        <f>IF(COUNT(O18,Z18,AK18)=0,"",AVERAGE(O18,Z18,AK18))</f>
        <v/>
      </c>
      <c r="AW18" s="59">
        <f>IF(COUNT(P18,AA18,AL18)=0,"",AVERAGE(P18,AA18,AL18))</f>
        <v/>
      </c>
      <c r="AX18" s="59">
        <f>IF(COUNT(Q18,AB18,AM18)=0,"",AVERAGE(Q18,AB18,AM18))</f>
        <v/>
      </c>
      <c r="AY18" s="60">
        <f>IF(OR($F18="",COUNT(R18,AC18,AN18)=0),"",AVERAGE(R18,AC18,AN18))</f>
        <v/>
      </c>
      <c r="AZ18" s="60">
        <f>IF(OR($G18="",$G18=$F18,COUNT(S18,AD18,AO18)=0),"",AVERAGE(S18,AD18,AO18))</f>
        <v/>
      </c>
      <c r="BA18" s="61">
        <f>IF(COUNT(AP18:AX18)=0,"",SUM(AP18:AX18))</f>
        <v/>
      </c>
      <c r="BB18" s="62">
        <f>IF(BA18="","",BA18/BA$6)</f>
        <v/>
      </c>
      <c r="BC18" s="14">
        <f>IF(BR18="","",COUNTIF($BR$7:$BR$26,"&gt;"&amp;BR18)+COUNTIF($BR$7:BR18,BR18))</f>
        <v/>
      </c>
      <c r="BD18" s="63">
        <f>IF(BC18="","",IF(BC18&lt;=Mapping!$C$11,"Shortlisted","Not shortlisted"))</f>
        <v/>
      </c>
      <c r="BE18" s="64">
        <f>IFERROR((AP18/AP$6*Mapping!$D$15+AQ18/AQ$6*Mapping!$D$16+AR18/AR$6*Mapping!$D$17+AS18/AS$6*Mapping!$D$18+AT18/AT$6*Mapping!$D$19+AU18/AU$6*Mapping!$D$20+AV18/AV$6*Mapping!$D$21+AW18/AW$6*Mapping!$D$22+AX18/AX$6*Mapping!$D$23)/SUM(Mapping!$D$15:$D$23),"")</f>
        <v/>
      </c>
      <c r="BF18" s="64">
        <f>IFERROR((AP18/AP$6*Mapping!$E$15+AQ18/AQ$6*Mapping!$E$16+AR18/AR$6*Mapping!$E$17+AS18/AS$6*Mapping!$E$18+AT18/AT$6*Mapping!$E$19+AU18/AU$6*Mapping!$E$20+AV18/AV$6*Mapping!$E$21+AW18/AW$6*Mapping!$E$22+AX18/AX$6*Mapping!$E$23)/SUM(Mapping!$E$15:$E$23),"")</f>
        <v/>
      </c>
      <c r="BG18" s="64">
        <f>IFERROR((AP18/AP$6*Mapping!$F$15+AQ18/AQ$6*Mapping!$F$16+AR18/AR$6*Mapping!$F$17+AS18/AS$6*Mapping!$F$18+AT18/AT$6*Mapping!$F$19+AU18/AU$6*Mapping!$F$20+AV18/AV$6*Mapping!$F$21+AW18/AW$6*Mapping!$F$22+AX18/AX$6*Mapping!$F$23)/SUM(Mapping!$F$15:$F$23),"")</f>
        <v/>
      </c>
      <c r="BH18" s="64">
        <f>IFERROR((AP18/AP$6*Mapping!$G$15+AQ18/AQ$6*Mapping!$G$16+AR18/AR$6*Mapping!$G$17+AS18/AS$6*Mapping!$G$18+AT18/AT$6*Mapping!$G$19+AU18/AU$6*Mapping!$G$20+AV18/AV$6*Mapping!$G$21+AW18/AW$6*Mapping!$G$22+AX18/AX$6*Mapping!$G$23)/SUM(Mapping!$G$15:$G$23),"")</f>
        <v/>
      </c>
      <c r="BI18" s="64">
        <f>IFERROR((AP18/AP$6*Mapping!$H$15+AQ18/AQ$6*Mapping!$H$16+AR18/AR$6*Mapping!$H$17+AS18/AS$6*Mapping!$H$18+AT18/AT$6*Mapping!$H$19+AU18/AU$6*Mapping!$H$20+AV18/AV$6*Mapping!$H$21+AW18/AW$6*Mapping!$H$22+AX18/AX$6*Mapping!$H$23)/SUM(Mapping!$H$15:$H$23),"")</f>
        <v/>
      </c>
      <c r="BJ18" s="64">
        <f>IFERROR((AP18/AP$6*Mapping!$I$15+AQ18/AQ$6*Mapping!$I$16+AR18/AR$6*Mapping!$I$17+AS18/AS$6*Mapping!$I$18+AT18/AT$6*Mapping!$I$19+AU18/AU$6*Mapping!$I$20+AV18/AV$6*Mapping!$I$21+AW18/AW$6*Mapping!$I$22+AX18/AX$6*Mapping!$I$23)/SUM(Mapping!$I$15:$I$23),"")</f>
        <v/>
      </c>
      <c r="BK18" s="64">
        <f>IFERROR((AP18/AP$6*Mapping!$J$15+AQ18/AQ$6*Mapping!$J$16+AR18/AR$6*Mapping!$J$17+AS18/AS$6*Mapping!$J$18+AT18/AT$6*Mapping!$J$19+AU18/AU$6*Mapping!$J$20+AV18/AV$6*Mapping!$J$21+AW18/AW$6*Mapping!$J$22+AX18/AX$6*Mapping!$J$23)/SUM(Mapping!$J$15:$J$23),"")</f>
        <v/>
      </c>
      <c r="BL18" s="64">
        <f>IFERROR((AP18/AP$6*Mapping!$K$15+AQ18/AQ$6*Mapping!$K$16+AR18/AR$6*Mapping!$K$17+AS18/AS$6*Mapping!$K$18+AT18/AT$6*Mapping!$K$19+AU18/AU$6*Mapping!$K$20+AV18/AV$6*Mapping!$K$21+AW18/AW$6*Mapping!$K$22+AX18/AX$6*Mapping!$K$23)/SUM(Mapping!$K$15:$K$23),"")</f>
        <v/>
      </c>
      <c r="BM18" s="64">
        <f>IFERROR((AP18/AP$6*Mapping!$L$15+AQ18/AQ$6*Mapping!$L$16+AR18/AR$6*Mapping!$L$17+AS18/AS$6*Mapping!$L$18+AT18/AT$6*Mapping!$L$19+AU18/AU$6*Mapping!$L$20+AV18/AV$6*Mapping!$L$21+AW18/AW$6*Mapping!$L$22+AX18/AX$6*Mapping!$L$23)/SUM(Mapping!$L$15:$L$23),"")</f>
        <v/>
      </c>
      <c r="BN18" s="64">
        <f>IFERROR((AP18/AP$6*Mapping!$M$15+AQ18/AQ$6*Mapping!$M$16+AR18/AR$6*Mapping!$M$17+AS18/AS$6*Mapping!$M$18+AT18/AT$6*Mapping!$M$19+AU18/AU$6*Mapping!$M$20+AV18/AV$6*Mapping!$M$21+AW18/AW$6*Mapping!$M$22+AX18/AX$6*Mapping!$M$23)/SUM(Mapping!$M$15:$M$23),"")</f>
        <v/>
      </c>
      <c r="BO18" s="64">
        <f>IFERROR((AP18/AP$6*Mapping!$N$15+AQ18/AQ$6*Mapping!$N$16+AR18/AR$6*Mapping!$N$17+AS18/AS$6*Mapping!$N$18+AT18/AT$6*Mapping!$N$19+AU18/AU$6*Mapping!$N$20+AV18/AV$6*Mapping!$N$21+AW18/AW$6*Mapping!$N$22+AX18/AX$6*Mapping!$N$23)/SUM(Mapping!$N$15:$N$23),"")</f>
        <v/>
      </c>
      <c r="BP18" s="64">
        <f>IFERROR((AP18/AP$6*Mapping!$O$15+AQ18/AQ$6*Mapping!$O$16+AR18/AR$6*Mapping!$O$17+AS18/AS$6*Mapping!$O$18+AT18/AT$6*Mapping!$O$19+AU18/AU$6*Mapping!$O$20+AV18/AV$6*Mapping!$O$21+AW18/AW$6*Mapping!$O$22+AX18/AX$6*Mapping!$O$23)/SUM(Mapping!$O$15:$O$23),"")</f>
        <v/>
      </c>
      <c r="BQ18" s="64">
        <f>IFERROR((AP18/AP$6*Mapping!$P$15+AQ18/AQ$6*Mapping!$P$16+AR18/AR$6*Mapping!$P$17+AS18/AS$6*Mapping!$P$18+AT18/AT$6*Mapping!$P$19+AU18/AU$6*Mapping!$P$20+AV18/AV$6*Mapping!$P$21+AW18/AW$6*Mapping!$P$22+AX18/AX$6*Mapping!$P$23)/SUM(Mapping!$P$15:$P$23),"")</f>
        <v/>
      </c>
      <c r="BR18" s="65">
        <f>IF(BA18="","",BA18+N(AS18)/10000)</f>
        <v/>
      </c>
    </row>
    <row r="19" ht="30" customHeight="1">
      <c r="A19" s="28" t="n">
        <v>13</v>
      </c>
      <c r="B19" s="29" t="inlineStr">
        <is>
          <t>3rd Sem - B</t>
        </is>
      </c>
      <c r="C19" s="29" t="n"/>
      <c r="D19" s="6" t="n"/>
      <c r="E19" s="6" t="n"/>
      <c r="F19" s="29" t="n"/>
      <c r="G19" s="29" t="n"/>
      <c r="H19" s="6" t="n"/>
      <c r="I19" s="29" t="n"/>
      <c r="J19" s="29" t="n"/>
      <c r="K19" s="29" t="n"/>
      <c r="L19" s="29" t="n"/>
      <c r="M19" s="29" t="n"/>
      <c r="N19" s="29" t="n"/>
      <c r="O19" s="29" t="n"/>
      <c r="P19" s="29" t="n"/>
      <c r="Q19" s="29" t="n"/>
      <c r="R19" s="29" t="n"/>
      <c r="S19" s="29" t="n"/>
      <c r="T19" s="29" t="n"/>
      <c r="U19" s="29" t="n"/>
      <c r="V19" s="29" t="n"/>
      <c r="W19" s="29" t="n"/>
      <c r="X19" s="29" t="n"/>
      <c r="Y19" s="29" t="n"/>
      <c r="Z19" s="29" t="n"/>
      <c r="AA19" s="29" t="n"/>
      <c r="AB19" s="29" t="n"/>
      <c r="AC19" s="29" t="n"/>
      <c r="AD19" s="29" t="n"/>
      <c r="AE19" s="29" t="n"/>
      <c r="AF19" s="29" t="n"/>
      <c r="AG19" s="29" t="n"/>
      <c r="AH19" s="29" t="n"/>
      <c r="AI19" s="29" t="n"/>
      <c r="AJ19" s="29" t="n"/>
      <c r="AK19" s="29" t="n"/>
      <c r="AL19" s="29" t="n"/>
      <c r="AM19" s="29" t="n"/>
      <c r="AN19" s="29" t="n"/>
      <c r="AO19" s="29" t="n"/>
      <c r="AP19" s="59">
        <f>IF(COUNT(I19,T19,AE19)=0,"",AVERAGE(I19,T19,AE19))</f>
        <v/>
      </c>
      <c r="AQ19" s="59">
        <f>IF(COUNT(J19,U19,AF19)=0,"",AVERAGE(J19,U19,AF19))</f>
        <v/>
      </c>
      <c r="AR19" s="59">
        <f>IF(COUNT(K19,V19,AG19)=0,"",AVERAGE(K19,V19,AG19))</f>
        <v/>
      </c>
      <c r="AS19" s="59">
        <f>IF(COUNT(L19,W19,AH19)=0,"",AVERAGE(L19,W19,AH19))</f>
        <v/>
      </c>
      <c r="AT19" s="59">
        <f>IF(COUNT(M19,X19,AI19)=0,"",AVERAGE(M19,X19,AI19))</f>
        <v/>
      </c>
      <c r="AU19" s="59">
        <f>IF(COUNT(N19,Y19,AJ19)=0,"",AVERAGE(N19,Y19,AJ19))</f>
        <v/>
      </c>
      <c r="AV19" s="59">
        <f>IF(COUNT(O19,Z19,AK19)=0,"",AVERAGE(O19,Z19,AK19))</f>
        <v/>
      </c>
      <c r="AW19" s="59">
        <f>IF(COUNT(P19,AA19,AL19)=0,"",AVERAGE(P19,AA19,AL19))</f>
        <v/>
      </c>
      <c r="AX19" s="59">
        <f>IF(COUNT(Q19,AB19,AM19)=0,"",AVERAGE(Q19,AB19,AM19))</f>
        <v/>
      </c>
      <c r="AY19" s="60">
        <f>IF(OR($F19="",COUNT(R19,AC19,AN19)=0),"",AVERAGE(R19,AC19,AN19))</f>
        <v/>
      </c>
      <c r="AZ19" s="60">
        <f>IF(OR($G19="",$G19=$F19,COUNT(S19,AD19,AO19)=0),"",AVERAGE(S19,AD19,AO19))</f>
        <v/>
      </c>
      <c r="BA19" s="61">
        <f>IF(COUNT(AP19:AX19)=0,"",SUM(AP19:AX19))</f>
        <v/>
      </c>
      <c r="BB19" s="62">
        <f>IF(BA19="","",BA19/BA$6)</f>
        <v/>
      </c>
      <c r="BC19" s="14">
        <f>IF(BR19="","",COUNTIF($BR$7:$BR$26,"&gt;"&amp;BR19)+COUNTIF($BR$7:BR19,BR19))</f>
        <v/>
      </c>
      <c r="BD19" s="63">
        <f>IF(BC19="","",IF(BC19&lt;=Mapping!$C$11,"Shortlisted","Not shortlisted"))</f>
        <v/>
      </c>
      <c r="BE19" s="64">
        <f>IFERROR((AP19/AP$6*Mapping!$D$15+AQ19/AQ$6*Mapping!$D$16+AR19/AR$6*Mapping!$D$17+AS19/AS$6*Mapping!$D$18+AT19/AT$6*Mapping!$D$19+AU19/AU$6*Mapping!$D$20+AV19/AV$6*Mapping!$D$21+AW19/AW$6*Mapping!$D$22+AX19/AX$6*Mapping!$D$23)/SUM(Mapping!$D$15:$D$23),"")</f>
        <v/>
      </c>
      <c r="BF19" s="64">
        <f>IFERROR((AP19/AP$6*Mapping!$E$15+AQ19/AQ$6*Mapping!$E$16+AR19/AR$6*Mapping!$E$17+AS19/AS$6*Mapping!$E$18+AT19/AT$6*Mapping!$E$19+AU19/AU$6*Mapping!$E$20+AV19/AV$6*Mapping!$E$21+AW19/AW$6*Mapping!$E$22+AX19/AX$6*Mapping!$E$23)/SUM(Mapping!$E$15:$E$23),"")</f>
        <v/>
      </c>
      <c r="BG19" s="64">
        <f>IFERROR((AP19/AP$6*Mapping!$F$15+AQ19/AQ$6*Mapping!$F$16+AR19/AR$6*Mapping!$F$17+AS19/AS$6*Mapping!$F$18+AT19/AT$6*Mapping!$F$19+AU19/AU$6*Mapping!$F$20+AV19/AV$6*Mapping!$F$21+AW19/AW$6*Mapping!$F$22+AX19/AX$6*Mapping!$F$23)/SUM(Mapping!$F$15:$F$23),"")</f>
        <v/>
      </c>
      <c r="BH19" s="64">
        <f>IFERROR((AP19/AP$6*Mapping!$G$15+AQ19/AQ$6*Mapping!$G$16+AR19/AR$6*Mapping!$G$17+AS19/AS$6*Mapping!$G$18+AT19/AT$6*Mapping!$G$19+AU19/AU$6*Mapping!$G$20+AV19/AV$6*Mapping!$G$21+AW19/AW$6*Mapping!$G$22+AX19/AX$6*Mapping!$G$23)/SUM(Mapping!$G$15:$G$23),"")</f>
        <v/>
      </c>
      <c r="BI19" s="64">
        <f>IFERROR((AP19/AP$6*Mapping!$H$15+AQ19/AQ$6*Mapping!$H$16+AR19/AR$6*Mapping!$H$17+AS19/AS$6*Mapping!$H$18+AT19/AT$6*Mapping!$H$19+AU19/AU$6*Mapping!$H$20+AV19/AV$6*Mapping!$H$21+AW19/AW$6*Mapping!$H$22+AX19/AX$6*Mapping!$H$23)/SUM(Mapping!$H$15:$H$23),"")</f>
        <v/>
      </c>
      <c r="BJ19" s="64">
        <f>IFERROR((AP19/AP$6*Mapping!$I$15+AQ19/AQ$6*Mapping!$I$16+AR19/AR$6*Mapping!$I$17+AS19/AS$6*Mapping!$I$18+AT19/AT$6*Mapping!$I$19+AU19/AU$6*Mapping!$I$20+AV19/AV$6*Mapping!$I$21+AW19/AW$6*Mapping!$I$22+AX19/AX$6*Mapping!$I$23)/SUM(Mapping!$I$15:$I$23),"")</f>
        <v/>
      </c>
      <c r="BK19" s="64">
        <f>IFERROR((AP19/AP$6*Mapping!$J$15+AQ19/AQ$6*Mapping!$J$16+AR19/AR$6*Mapping!$J$17+AS19/AS$6*Mapping!$J$18+AT19/AT$6*Mapping!$J$19+AU19/AU$6*Mapping!$J$20+AV19/AV$6*Mapping!$J$21+AW19/AW$6*Mapping!$J$22+AX19/AX$6*Mapping!$J$23)/SUM(Mapping!$J$15:$J$23),"")</f>
        <v/>
      </c>
      <c r="BL19" s="64">
        <f>IFERROR((AP19/AP$6*Mapping!$K$15+AQ19/AQ$6*Mapping!$K$16+AR19/AR$6*Mapping!$K$17+AS19/AS$6*Mapping!$K$18+AT19/AT$6*Mapping!$K$19+AU19/AU$6*Mapping!$K$20+AV19/AV$6*Mapping!$K$21+AW19/AW$6*Mapping!$K$22+AX19/AX$6*Mapping!$K$23)/SUM(Mapping!$K$15:$K$23),"")</f>
        <v/>
      </c>
      <c r="BM19" s="64">
        <f>IFERROR((AP19/AP$6*Mapping!$L$15+AQ19/AQ$6*Mapping!$L$16+AR19/AR$6*Mapping!$L$17+AS19/AS$6*Mapping!$L$18+AT19/AT$6*Mapping!$L$19+AU19/AU$6*Mapping!$L$20+AV19/AV$6*Mapping!$L$21+AW19/AW$6*Mapping!$L$22+AX19/AX$6*Mapping!$L$23)/SUM(Mapping!$L$15:$L$23),"")</f>
        <v/>
      </c>
      <c r="BN19" s="64">
        <f>IFERROR((AP19/AP$6*Mapping!$M$15+AQ19/AQ$6*Mapping!$M$16+AR19/AR$6*Mapping!$M$17+AS19/AS$6*Mapping!$M$18+AT19/AT$6*Mapping!$M$19+AU19/AU$6*Mapping!$M$20+AV19/AV$6*Mapping!$M$21+AW19/AW$6*Mapping!$M$22+AX19/AX$6*Mapping!$M$23)/SUM(Mapping!$M$15:$M$23),"")</f>
        <v/>
      </c>
      <c r="BO19" s="64">
        <f>IFERROR((AP19/AP$6*Mapping!$N$15+AQ19/AQ$6*Mapping!$N$16+AR19/AR$6*Mapping!$N$17+AS19/AS$6*Mapping!$N$18+AT19/AT$6*Mapping!$N$19+AU19/AU$6*Mapping!$N$20+AV19/AV$6*Mapping!$N$21+AW19/AW$6*Mapping!$N$22+AX19/AX$6*Mapping!$N$23)/SUM(Mapping!$N$15:$N$23),"")</f>
        <v/>
      </c>
      <c r="BP19" s="64">
        <f>IFERROR((AP19/AP$6*Mapping!$O$15+AQ19/AQ$6*Mapping!$O$16+AR19/AR$6*Mapping!$O$17+AS19/AS$6*Mapping!$O$18+AT19/AT$6*Mapping!$O$19+AU19/AU$6*Mapping!$O$20+AV19/AV$6*Mapping!$O$21+AW19/AW$6*Mapping!$O$22+AX19/AX$6*Mapping!$O$23)/SUM(Mapping!$O$15:$O$23),"")</f>
        <v/>
      </c>
      <c r="BQ19" s="64">
        <f>IFERROR((AP19/AP$6*Mapping!$P$15+AQ19/AQ$6*Mapping!$P$16+AR19/AR$6*Mapping!$P$17+AS19/AS$6*Mapping!$P$18+AT19/AT$6*Mapping!$P$19+AU19/AU$6*Mapping!$P$20+AV19/AV$6*Mapping!$P$21+AW19/AW$6*Mapping!$P$22+AX19/AX$6*Mapping!$P$23)/SUM(Mapping!$P$15:$P$23),"")</f>
        <v/>
      </c>
      <c r="BR19" s="65">
        <f>IF(BA19="","",BA19+N(AS19)/10000)</f>
        <v/>
      </c>
    </row>
    <row r="20" ht="30" customHeight="1">
      <c r="A20" s="28" t="n">
        <v>14</v>
      </c>
      <c r="B20" s="29" t="inlineStr">
        <is>
          <t>3rd Sem - B</t>
        </is>
      </c>
      <c r="C20" s="29" t="n"/>
      <c r="D20" s="6" t="n"/>
      <c r="E20" s="6" t="n"/>
      <c r="F20" s="29" t="n"/>
      <c r="G20" s="29" t="n"/>
      <c r="H20" s="6" t="n"/>
      <c r="I20" s="29" t="n"/>
      <c r="J20" s="29" t="n"/>
      <c r="K20" s="29" t="n"/>
      <c r="L20" s="29" t="n"/>
      <c r="M20" s="29" t="n"/>
      <c r="N20" s="29" t="n"/>
      <c r="O20" s="29" t="n"/>
      <c r="P20" s="29" t="n"/>
      <c r="Q20" s="29" t="n"/>
      <c r="R20" s="29" t="n"/>
      <c r="S20" s="29" t="n"/>
      <c r="T20" s="29" t="n"/>
      <c r="U20" s="29" t="n"/>
      <c r="V20" s="29" t="n"/>
      <c r="W20" s="29" t="n"/>
      <c r="X20" s="29" t="n"/>
      <c r="Y20" s="29" t="n"/>
      <c r="Z20" s="29" t="n"/>
      <c r="AA20" s="29" t="n"/>
      <c r="AB20" s="29" t="n"/>
      <c r="AC20" s="29" t="n"/>
      <c r="AD20" s="29" t="n"/>
      <c r="AE20" s="29" t="n"/>
      <c r="AF20" s="29" t="n"/>
      <c r="AG20" s="29" t="n"/>
      <c r="AH20" s="29" t="n"/>
      <c r="AI20" s="29" t="n"/>
      <c r="AJ20" s="29" t="n"/>
      <c r="AK20" s="29" t="n"/>
      <c r="AL20" s="29" t="n"/>
      <c r="AM20" s="29" t="n"/>
      <c r="AN20" s="29" t="n"/>
      <c r="AO20" s="29" t="n"/>
      <c r="AP20" s="59">
        <f>IF(COUNT(I20,T20,AE20)=0,"",AVERAGE(I20,T20,AE20))</f>
        <v/>
      </c>
      <c r="AQ20" s="59">
        <f>IF(COUNT(J20,U20,AF20)=0,"",AVERAGE(J20,U20,AF20))</f>
        <v/>
      </c>
      <c r="AR20" s="59">
        <f>IF(COUNT(K20,V20,AG20)=0,"",AVERAGE(K20,V20,AG20))</f>
        <v/>
      </c>
      <c r="AS20" s="59">
        <f>IF(COUNT(L20,W20,AH20)=0,"",AVERAGE(L20,W20,AH20))</f>
        <v/>
      </c>
      <c r="AT20" s="59">
        <f>IF(COUNT(M20,X20,AI20)=0,"",AVERAGE(M20,X20,AI20))</f>
        <v/>
      </c>
      <c r="AU20" s="59">
        <f>IF(COUNT(N20,Y20,AJ20)=0,"",AVERAGE(N20,Y20,AJ20))</f>
        <v/>
      </c>
      <c r="AV20" s="59">
        <f>IF(COUNT(O20,Z20,AK20)=0,"",AVERAGE(O20,Z20,AK20))</f>
        <v/>
      </c>
      <c r="AW20" s="59">
        <f>IF(COUNT(P20,AA20,AL20)=0,"",AVERAGE(P20,AA20,AL20))</f>
        <v/>
      </c>
      <c r="AX20" s="59">
        <f>IF(COUNT(Q20,AB20,AM20)=0,"",AVERAGE(Q20,AB20,AM20))</f>
        <v/>
      </c>
      <c r="AY20" s="60">
        <f>IF(OR($F20="",COUNT(R20,AC20,AN20)=0),"",AVERAGE(R20,AC20,AN20))</f>
        <v/>
      </c>
      <c r="AZ20" s="60">
        <f>IF(OR($G20="",$G20=$F20,COUNT(S20,AD20,AO20)=0),"",AVERAGE(S20,AD20,AO20))</f>
        <v/>
      </c>
      <c r="BA20" s="61">
        <f>IF(COUNT(AP20:AX20)=0,"",SUM(AP20:AX20))</f>
        <v/>
      </c>
      <c r="BB20" s="62">
        <f>IF(BA20="","",BA20/BA$6)</f>
        <v/>
      </c>
      <c r="BC20" s="14">
        <f>IF(BR20="","",COUNTIF($BR$7:$BR$26,"&gt;"&amp;BR20)+COUNTIF($BR$7:BR20,BR20))</f>
        <v/>
      </c>
      <c r="BD20" s="63">
        <f>IF(BC20="","",IF(BC20&lt;=Mapping!$C$11,"Shortlisted","Not shortlisted"))</f>
        <v/>
      </c>
      <c r="BE20" s="64">
        <f>IFERROR((AP20/AP$6*Mapping!$D$15+AQ20/AQ$6*Mapping!$D$16+AR20/AR$6*Mapping!$D$17+AS20/AS$6*Mapping!$D$18+AT20/AT$6*Mapping!$D$19+AU20/AU$6*Mapping!$D$20+AV20/AV$6*Mapping!$D$21+AW20/AW$6*Mapping!$D$22+AX20/AX$6*Mapping!$D$23)/SUM(Mapping!$D$15:$D$23),"")</f>
        <v/>
      </c>
      <c r="BF20" s="64">
        <f>IFERROR((AP20/AP$6*Mapping!$E$15+AQ20/AQ$6*Mapping!$E$16+AR20/AR$6*Mapping!$E$17+AS20/AS$6*Mapping!$E$18+AT20/AT$6*Mapping!$E$19+AU20/AU$6*Mapping!$E$20+AV20/AV$6*Mapping!$E$21+AW20/AW$6*Mapping!$E$22+AX20/AX$6*Mapping!$E$23)/SUM(Mapping!$E$15:$E$23),"")</f>
        <v/>
      </c>
      <c r="BG20" s="64">
        <f>IFERROR((AP20/AP$6*Mapping!$F$15+AQ20/AQ$6*Mapping!$F$16+AR20/AR$6*Mapping!$F$17+AS20/AS$6*Mapping!$F$18+AT20/AT$6*Mapping!$F$19+AU20/AU$6*Mapping!$F$20+AV20/AV$6*Mapping!$F$21+AW20/AW$6*Mapping!$F$22+AX20/AX$6*Mapping!$F$23)/SUM(Mapping!$F$15:$F$23),"")</f>
        <v/>
      </c>
      <c r="BH20" s="64">
        <f>IFERROR((AP20/AP$6*Mapping!$G$15+AQ20/AQ$6*Mapping!$G$16+AR20/AR$6*Mapping!$G$17+AS20/AS$6*Mapping!$G$18+AT20/AT$6*Mapping!$G$19+AU20/AU$6*Mapping!$G$20+AV20/AV$6*Mapping!$G$21+AW20/AW$6*Mapping!$G$22+AX20/AX$6*Mapping!$G$23)/SUM(Mapping!$G$15:$G$23),"")</f>
        <v/>
      </c>
      <c r="BI20" s="64">
        <f>IFERROR((AP20/AP$6*Mapping!$H$15+AQ20/AQ$6*Mapping!$H$16+AR20/AR$6*Mapping!$H$17+AS20/AS$6*Mapping!$H$18+AT20/AT$6*Mapping!$H$19+AU20/AU$6*Mapping!$H$20+AV20/AV$6*Mapping!$H$21+AW20/AW$6*Mapping!$H$22+AX20/AX$6*Mapping!$H$23)/SUM(Mapping!$H$15:$H$23),"")</f>
        <v/>
      </c>
      <c r="BJ20" s="64">
        <f>IFERROR((AP20/AP$6*Mapping!$I$15+AQ20/AQ$6*Mapping!$I$16+AR20/AR$6*Mapping!$I$17+AS20/AS$6*Mapping!$I$18+AT20/AT$6*Mapping!$I$19+AU20/AU$6*Mapping!$I$20+AV20/AV$6*Mapping!$I$21+AW20/AW$6*Mapping!$I$22+AX20/AX$6*Mapping!$I$23)/SUM(Mapping!$I$15:$I$23),"")</f>
        <v/>
      </c>
      <c r="BK20" s="64">
        <f>IFERROR((AP20/AP$6*Mapping!$J$15+AQ20/AQ$6*Mapping!$J$16+AR20/AR$6*Mapping!$J$17+AS20/AS$6*Mapping!$J$18+AT20/AT$6*Mapping!$J$19+AU20/AU$6*Mapping!$J$20+AV20/AV$6*Mapping!$J$21+AW20/AW$6*Mapping!$J$22+AX20/AX$6*Mapping!$J$23)/SUM(Mapping!$J$15:$J$23),"")</f>
        <v/>
      </c>
      <c r="BL20" s="64">
        <f>IFERROR((AP20/AP$6*Mapping!$K$15+AQ20/AQ$6*Mapping!$K$16+AR20/AR$6*Mapping!$K$17+AS20/AS$6*Mapping!$K$18+AT20/AT$6*Mapping!$K$19+AU20/AU$6*Mapping!$K$20+AV20/AV$6*Mapping!$K$21+AW20/AW$6*Mapping!$K$22+AX20/AX$6*Mapping!$K$23)/SUM(Mapping!$K$15:$K$23),"")</f>
        <v/>
      </c>
      <c r="BM20" s="64">
        <f>IFERROR((AP20/AP$6*Mapping!$L$15+AQ20/AQ$6*Mapping!$L$16+AR20/AR$6*Mapping!$L$17+AS20/AS$6*Mapping!$L$18+AT20/AT$6*Mapping!$L$19+AU20/AU$6*Mapping!$L$20+AV20/AV$6*Mapping!$L$21+AW20/AW$6*Mapping!$L$22+AX20/AX$6*Mapping!$L$23)/SUM(Mapping!$L$15:$L$23),"")</f>
        <v/>
      </c>
      <c r="BN20" s="64">
        <f>IFERROR((AP20/AP$6*Mapping!$M$15+AQ20/AQ$6*Mapping!$M$16+AR20/AR$6*Mapping!$M$17+AS20/AS$6*Mapping!$M$18+AT20/AT$6*Mapping!$M$19+AU20/AU$6*Mapping!$M$20+AV20/AV$6*Mapping!$M$21+AW20/AW$6*Mapping!$M$22+AX20/AX$6*Mapping!$M$23)/SUM(Mapping!$M$15:$M$23),"")</f>
        <v/>
      </c>
      <c r="BO20" s="64">
        <f>IFERROR((AP20/AP$6*Mapping!$N$15+AQ20/AQ$6*Mapping!$N$16+AR20/AR$6*Mapping!$N$17+AS20/AS$6*Mapping!$N$18+AT20/AT$6*Mapping!$N$19+AU20/AU$6*Mapping!$N$20+AV20/AV$6*Mapping!$N$21+AW20/AW$6*Mapping!$N$22+AX20/AX$6*Mapping!$N$23)/SUM(Mapping!$N$15:$N$23),"")</f>
        <v/>
      </c>
      <c r="BP20" s="64">
        <f>IFERROR((AP20/AP$6*Mapping!$O$15+AQ20/AQ$6*Mapping!$O$16+AR20/AR$6*Mapping!$O$17+AS20/AS$6*Mapping!$O$18+AT20/AT$6*Mapping!$O$19+AU20/AU$6*Mapping!$O$20+AV20/AV$6*Mapping!$O$21+AW20/AW$6*Mapping!$O$22+AX20/AX$6*Mapping!$O$23)/SUM(Mapping!$O$15:$O$23),"")</f>
        <v/>
      </c>
      <c r="BQ20" s="64">
        <f>IFERROR((AP20/AP$6*Mapping!$P$15+AQ20/AQ$6*Mapping!$P$16+AR20/AR$6*Mapping!$P$17+AS20/AS$6*Mapping!$P$18+AT20/AT$6*Mapping!$P$19+AU20/AU$6*Mapping!$P$20+AV20/AV$6*Mapping!$P$21+AW20/AW$6*Mapping!$P$22+AX20/AX$6*Mapping!$P$23)/SUM(Mapping!$P$15:$P$23),"")</f>
        <v/>
      </c>
      <c r="BR20" s="65">
        <f>IF(BA20="","",BA20+N(AS20)/10000)</f>
        <v/>
      </c>
    </row>
    <row r="21" ht="30" customHeight="1">
      <c r="A21" s="28" t="n">
        <v>15</v>
      </c>
      <c r="B21" s="29" t="inlineStr">
        <is>
          <t>3rd Sem - B</t>
        </is>
      </c>
      <c r="C21" s="29" t="n"/>
      <c r="D21" s="6" t="n"/>
      <c r="E21" s="6" t="n"/>
      <c r="F21" s="29" t="n"/>
      <c r="G21" s="29" t="n"/>
      <c r="H21" s="6" t="n"/>
      <c r="I21" s="29" t="n"/>
      <c r="J21" s="29" t="n"/>
      <c r="K21" s="29" t="n"/>
      <c r="L21" s="29" t="n"/>
      <c r="M21" s="29" t="n"/>
      <c r="N21" s="29" t="n"/>
      <c r="O21" s="29" t="n"/>
      <c r="P21" s="29" t="n"/>
      <c r="Q21" s="29" t="n"/>
      <c r="R21" s="29" t="n"/>
      <c r="S21" s="29" t="n"/>
      <c r="T21" s="29" t="n"/>
      <c r="U21" s="29" t="n"/>
      <c r="V21" s="29" t="n"/>
      <c r="W21" s="29" t="n"/>
      <c r="X21" s="29" t="n"/>
      <c r="Y21" s="29" t="n"/>
      <c r="Z21" s="29" t="n"/>
      <c r="AA21" s="29" t="n"/>
      <c r="AB21" s="29" t="n"/>
      <c r="AC21" s="29" t="n"/>
      <c r="AD21" s="29" t="n"/>
      <c r="AE21" s="29" t="n"/>
      <c r="AF21" s="29" t="n"/>
      <c r="AG21" s="29" t="n"/>
      <c r="AH21" s="29" t="n"/>
      <c r="AI21" s="29" t="n"/>
      <c r="AJ21" s="29" t="n"/>
      <c r="AK21" s="29" t="n"/>
      <c r="AL21" s="29" t="n"/>
      <c r="AM21" s="29" t="n"/>
      <c r="AN21" s="29" t="n"/>
      <c r="AO21" s="29" t="n"/>
      <c r="AP21" s="59">
        <f>IF(COUNT(I21,T21,AE21)=0,"",AVERAGE(I21,T21,AE21))</f>
        <v/>
      </c>
      <c r="AQ21" s="59">
        <f>IF(COUNT(J21,U21,AF21)=0,"",AVERAGE(J21,U21,AF21))</f>
        <v/>
      </c>
      <c r="AR21" s="59">
        <f>IF(COUNT(K21,V21,AG21)=0,"",AVERAGE(K21,V21,AG21))</f>
        <v/>
      </c>
      <c r="AS21" s="59">
        <f>IF(COUNT(L21,W21,AH21)=0,"",AVERAGE(L21,W21,AH21))</f>
        <v/>
      </c>
      <c r="AT21" s="59">
        <f>IF(COUNT(M21,X21,AI21)=0,"",AVERAGE(M21,X21,AI21))</f>
        <v/>
      </c>
      <c r="AU21" s="59">
        <f>IF(COUNT(N21,Y21,AJ21)=0,"",AVERAGE(N21,Y21,AJ21))</f>
        <v/>
      </c>
      <c r="AV21" s="59">
        <f>IF(COUNT(O21,Z21,AK21)=0,"",AVERAGE(O21,Z21,AK21))</f>
        <v/>
      </c>
      <c r="AW21" s="59">
        <f>IF(COUNT(P21,AA21,AL21)=0,"",AVERAGE(P21,AA21,AL21))</f>
        <v/>
      </c>
      <c r="AX21" s="59">
        <f>IF(COUNT(Q21,AB21,AM21)=0,"",AVERAGE(Q21,AB21,AM21))</f>
        <v/>
      </c>
      <c r="AY21" s="60">
        <f>IF(OR($F21="",COUNT(R21,AC21,AN21)=0),"",AVERAGE(R21,AC21,AN21))</f>
        <v/>
      </c>
      <c r="AZ21" s="60">
        <f>IF(OR($G21="",$G21=$F21,COUNT(S21,AD21,AO21)=0),"",AVERAGE(S21,AD21,AO21))</f>
        <v/>
      </c>
      <c r="BA21" s="61">
        <f>IF(COUNT(AP21:AX21)=0,"",SUM(AP21:AX21))</f>
        <v/>
      </c>
      <c r="BB21" s="62">
        <f>IF(BA21="","",BA21/BA$6)</f>
        <v/>
      </c>
      <c r="BC21" s="14">
        <f>IF(BR21="","",COUNTIF($BR$7:$BR$26,"&gt;"&amp;BR21)+COUNTIF($BR$7:BR21,BR21))</f>
        <v/>
      </c>
      <c r="BD21" s="63">
        <f>IF(BC21="","",IF(BC21&lt;=Mapping!$C$11,"Shortlisted","Not shortlisted"))</f>
        <v/>
      </c>
      <c r="BE21" s="64">
        <f>IFERROR((AP21/AP$6*Mapping!$D$15+AQ21/AQ$6*Mapping!$D$16+AR21/AR$6*Mapping!$D$17+AS21/AS$6*Mapping!$D$18+AT21/AT$6*Mapping!$D$19+AU21/AU$6*Mapping!$D$20+AV21/AV$6*Mapping!$D$21+AW21/AW$6*Mapping!$D$22+AX21/AX$6*Mapping!$D$23)/SUM(Mapping!$D$15:$D$23),"")</f>
        <v/>
      </c>
      <c r="BF21" s="64">
        <f>IFERROR((AP21/AP$6*Mapping!$E$15+AQ21/AQ$6*Mapping!$E$16+AR21/AR$6*Mapping!$E$17+AS21/AS$6*Mapping!$E$18+AT21/AT$6*Mapping!$E$19+AU21/AU$6*Mapping!$E$20+AV21/AV$6*Mapping!$E$21+AW21/AW$6*Mapping!$E$22+AX21/AX$6*Mapping!$E$23)/SUM(Mapping!$E$15:$E$23),"")</f>
        <v/>
      </c>
      <c r="BG21" s="64">
        <f>IFERROR((AP21/AP$6*Mapping!$F$15+AQ21/AQ$6*Mapping!$F$16+AR21/AR$6*Mapping!$F$17+AS21/AS$6*Mapping!$F$18+AT21/AT$6*Mapping!$F$19+AU21/AU$6*Mapping!$F$20+AV21/AV$6*Mapping!$F$21+AW21/AW$6*Mapping!$F$22+AX21/AX$6*Mapping!$F$23)/SUM(Mapping!$F$15:$F$23),"")</f>
        <v/>
      </c>
      <c r="BH21" s="64">
        <f>IFERROR((AP21/AP$6*Mapping!$G$15+AQ21/AQ$6*Mapping!$G$16+AR21/AR$6*Mapping!$G$17+AS21/AS$6*Mapping!$G$18+AT21/AT$6*Mapping!$G$19+AU21/AU$6*Mapping!$G$20+AV21/AV$6*Mapping!$G$21+AW21/AW$6*Mapping!$G$22+AX21/AX$6*Mapping!$G$23)/SUM(Mapping!$G$15:$G$23),"")</f>
        <v/>
      </c>
      <c r="BI21" s="64">
        <f>IFERROR((AP21/AP$6*Mapping!$H$15+AQ21/AQ$6*Mapping!$H$16+AR21/AR$6*Mapping!$H$17+AS21/AS$6*Mapping!$H$18+AT21/AT$6*Mapping!$H$19+AU21/AU$6*Mapping!$H$20+AV21/AV$6*Mapping!$H$21+AW21/AW$6*Mapping!$H$22+AX21/AX$6*Mapping!$H$23)/SUM(Mapping!$H$15:$H$23),"")</f>
        <v/>
      </c>
      <c r="BJ21" s="64">
        <f>IFERROR((AP21/AP$6*Mapping!$I$15+AQ21/AQ$6*Mapping!$I$16+AR21/AR$6*Mapping!$I$17+AS21/AS$6*Mapping!$I$18+AT21/AT$6*Mapping!$I$19+AU21/AU$6*Mapping!$I$20+AV21/AV$6*Mapping!$I$21+AW21/AW$6*Mapping!$I$22+AX21/AX$6*Mapping!$I$23)/SUM(Mapping!$I$15:$I$23),"")</f>
        <v/>
      </c>
      <c r="BK21" s="64">
        <f>IFERROR((AP21/AP$6*Mapping!$J$15+AQ21/AQ$6*Mapping!$J$16+AR21/AR$6*Mapping!$J$17+AS21/AS$6*Mapping!$J$18+AT21/AT$6*Mapping!$J$19+AU21/AU$6*Mapping!$J$20+AV21/AV$6*Mapping!$J$21+AW21/AW$6*Mapping!$J$22+AX21/AX$6*Mapping!$J$23)/SUM(Mapping!$J$15:$J$23),"")</f>
        <v/>
      </c>
      <c r="BL21" s="64">
        <f>IFERROR((AP21/AP$6*Mapping!$K$15+AQ21/AQ$6*Mapping!$K$16+AR21/AR$6*Mapping!$K$17+AS21/AS$6*Mapping!$K$18+AT21/AT$6*Mapping!$K$19+AU21/AU$6*Mapping!$K$20+AV21/AV$6*Mapping!$K$21+AW21/AW$6*Mapping!$K$22+AX21/AX$6*Mapping!$K$23)/SUM(Mapping!$K$15:$K$23),"")</f>
        <v/>
      </c>
      <c r="BM21" s="64">
        <f>IFERROR((AP21/AP$6*Mapping!$L$15+AQ21/AQ$6*Mapping!$L$16+AR21/AR$6*Mapping!$L$17+AS21/AS$6*Mapping!$L$18+AT21/AT$6*Mapping!$L$19+AU21/AU$6*Mapping!$L$20+AV21/AV$6*Mapping!$L$21+AW21/AW$6*Mapping!$L$22+AX21/AX$6*Mapping!$L$23)/SUM(Mapping!$L$15:$L$23),"")</f>
        <v/>
      </c>
      <c r="BN21" s="64">
        <f>IFERROR((AP21/AP$6*Mapping!$M$15+AQ21/AQ$6*Mapping!$M$16+AR21/AR$6*Mapping!$M$17+AS21/AS$6*Mapping!$M$18+AT21/AT$6*Mapping!$M$19+AU21/AU$6*Mapping!$M$20+AV21/AV$6*Mapping!$M$21+AW21/AW$6*Mapping!$M$22+AX21/AX$6*Mapping!$M$23)/SUM(Mapping!$M$15:$M$23),"")</f>
        <v/>
      </c>
      <c r="BO21" s="64">
        <f>IFERROR((AP21/AP$6*Mapping!$N$15+AQ21/AQ$6*Mapping!$N$16+AR21/AR$6*Mapping!$N$17+AS21/AS$6*Mapping!$N$18+AT21/AT$6*Mapping!$N$19+AU21/AU$6*Mapping!$N$20+AV21/AV$6*Mapping!$N$21+AW21/AW$6*Mapping!$N$22+AX21/AX$6*Mapping!$N$23)/SUM(Mapping!$N$15:$N$23),"")</f>
        <v/>
      </c>
      <c r="BP21" s="64">
        <f>IFERROR((AP21/AP$6*Mapping!$O$15+AQ21/AQ$6*Mapping!$O$16+AR21/AR$6*Mapping!$O$17+AS21/AS$6*Mapping!$O$18+AT21/AT$6*Mapping!$O$19+AU21/AU$6*Mapping!$O$20+AV21/AV$6*Mapping!$O$21+AW21/AW$6*Mapping!$O$22+AX21/AX$6*Mapping!$O$23)/SUM(Mapping!$O$15:$O$23),"")</f>
        <v/>
      </c>
      <c r="BQ21" s="64">
        <f>IFERROR((AP21/AP$6*Mapping!$P$15+AQ21/AQ$6*Mapping!$P$16+AR21/AR$6*Mapping!$P$17+AS21/AS$6*Mapping!$P$18+AT21/AT$6*Mapping!$P$19+AU21/AU$6*Mapping!$P$20+AV21/AV$6*Mapping!$P$21+AW21/AW$6*Mapping!$P$22+AX21/AX$6*Mapping!$P$23)/SUM(Mapping!$P$15:$P$23),"")</f>
        <v/>
      </c>
      <c r="BR21" s="65">
        <f>IF(BA21="","",BA21+N(AS21)/10000)</f>
        <v/>
      </c>
    </row>
    <row r="22" ht="30" customHeight="1">
      <c r="A22" s="28" t="n">
        <v>16</v>
      </c>
      <c r="B22" s="29" t="inlineStr">
        <is>
          <t>3rd Sem - B</t>
        </is>
      </c>
      <c r="C22" s="29" t="n"/>
      <c r="D22" s="6" t="n"/>
      <c r="E22" s="6" t="n"/>
      <c r="F22" s="29" t="n"/>
      <c r="G22" s="29" t="n"/>
      <c r="H22" s="6" t="n"/>
      <c r="I22" s="29" t="n"/>
      <c r="J22" s="29" t="n"/>
      <c r="K22" s="29" t="n"/>
      <c r="L22" s="29" t="n"/>
      <c r="M22" s="29" t="n"/>
      <c r="N22" s="29" t="n"/>
      <c r="O22" s="29" t="n"/>
      <c r="P22" s="29" t="n"/>
      <c r="Q22" s="29" t="n"/>
      <c r="R22" s="29" t="n"/>
      <c r="S22" s="29" t="n"/>
      <c r="T22" s="29" t="n"/>
      <c r="U22" s="29" t="n"/>
      <c r="V22" s="29" t="n"/>
      <c r="W22" s="29" t="n"/>
      <c r="X22" s="29" t="n"/>
      <c r="Y22" s="29" t="n"/>
      <c r="Z22" s="29" t="n"/>
      <c r="AA22" s="29" t="n"/>
      <c r="AB22" s="29" t="n"/>
      <c r="AC22" s="29" t="n"/>
      <c r="AD22" s="29" t="n"/>
      <c r="AE22" s="29" t="n"/>
      <c r="AF22" s="29" t="n"/>
      <c r="AG22" s="29" t="n"/>
      <c r="AH22" s="29" t="n"/>
      <c r="AI22" s="29" t="n"/>
      <c r="AJ22" s="29" t="n"/>
      <c r="AK22" s="29" t="n"/>
      <c r="AL22" s="29" t="n"/>
      <c r="AM22" s="29" t="n"/>
      <c r="AN22" s="29" t="n"/>
      <c r="AO22" s="29" t="n"/>
      <c r="AP22" s="59">
        <f>IF(COUNT(I22,T22,AE22)=0,"",AVERAGE(I22,T22,AE22))</f>
        <v/>
      </c>
      <c r="AQ22" s="59">
        <f>IF(COUNT(J22,U22,AF22)=0,"",AVERAGE(J22,U22,AF22))</f>
        <v/>
      </c>
      <c r="AR22" s="59">
        <f>IF(COUNT(K22,V22,AG22)=0,"",AVERAGE(K22,V22,AG22))</f>
        <v/>
      </c>
      <c r="AS22" s="59">
        <f>IF(COUNT(L22,W22,AH22)=0,"",AVERAGE(L22,W22,AH22))</f>
        <v/>
      </c>
      <c r="AT22" s="59">
        <f>IF(COUNT(M22,X22,AI22)=0,"",AVERAGE(M22,X22,AI22))</f>
        <v/>
      </c>
      <c r="AU22" s="59">
        <f>IF(COUNT(N22,Y22,AJ22)=0,"",AVERAGE(N22,Y22,AJ22))</f>
        <v/>
      </c>
      <c r="AV22" s="59">
        <f>IF(COUNT(O22,Z22,AK22)=0,"",AVERAGE(O22,Z22,AK22))</f>
        <v/>
      </c>
      <c r="AW22" s="59">
        <f>IF(COUNT(P22,AA22,AL22)=0,"",AVERAGE(P22,AA22,AL22))</f>
        <v/>
      </c>
      <c r="AX22" s="59">
        <f>IF(COUNT(Q22,AB22,AM22)=0,"",AVERAGE(Q22,AB22,AM22))</f>
        <v/>
      </c>
      <c r="AY22" s="60">
        <f>IF(OR($F22="",COUNT(R22,AC22,AN22)=0),"",AVERAGE(R22,AC22,AN22))</f>
        <v/>
      </c>
      <c r="AZ22" s="60">
        <f>IF(OR($G22="",$G22=$F22,COUNT(S22,AD22,AO22)=0),"",AVERAGE(S22,AD22,AO22))</f>
        <v/>
      </c>
      <c r="BA22" s="61">
        <f>IF(COUNT(AP22:AX22)=0,"",SUM(AP22:AX22))</f>
        <v/>
      </c>
      <c r="BB22" s="62">
        <f>IF(BA22="","",BA22/BA$6)</f>
        <v/>
      </c>
      <c r="BC22" s="14">
        <f>IF(BR22="","",COUNTIF($BR$7:$BR$26,"&gt;"&amp;BR22)+COUNTIF($BR$7:BR22,BR22))</f>
        <v/>
      </c>
      <c r="BD22" s="63">
        <f>IF(BC22="","",IF(BC22&lt;=Mapping!$C$11,"Shortlisted","Not shortlisted"))</f>
        <v/>
      </c>
      <c r="BE22" s="64">
        <f>IFERROR((AP22/AP$6*Mapping!$D$15+AQ22/AQ$6*Mapping!$D$16+AR22/AR$6*Mapping!$D$17+AS22/AS$6*Mapping!$D$18+AT22/AT$6*Mapping!$D$19+AU22/AU$6*Mapping!$D$20+AV22/AV$6*Mapping!$D$21+AW22/AW$6*Mapping!$D$22+AX22/AX$6*Mapping!$D$23)/SUM(Mapping!$D$15:$D$23),"")</f>
        <v/>
      </c>
      <c r="BF22" s="64">
        <f>IFERROR((AP22/AP$6*Mapping!$E$15+AQ22/AQ$6*Mapping!$E$16+AR22/AR$6*Mapping!$E$17+AS22/AS$6*Mapping!$E$18+AT22/AT$6*Mapping!$E$19+AU22/AU$6*Mapping!$E$20+AV22/AV$6*Mapping!$E$21+AW22/AW$6*Mapping!$E$22+AX22/AX$6*Mapping!$E$23)/SUM(Mapping!$E$15:$E$23),"")</f>
        <v/>
      </c>
      <c r="BG22" s="64">
        <f>IFERROR((AP22/AP$6*Mapping!$F$15+AQ22/AQ$6*Mapping!$F$16+AR22/AR$6*Mapping!$F$17+AS22/AS$6*Mapping!$F$18+AT22/AT$6*Mapping!$F$19+AU22/AU$6*Mapping!$F$20+AV22/AV$6*Mapping!$F$21+AW22/AW$6*Mapping!$F$22+AX22/AX$6*Mapping!$F$23)/SUM(Mapping!$F$15:$F$23),"")</f>
        <v/>
      </c>
      <c r="BH22" s="64">
        <f>IFERROR((AP22/AP$6*Mapping!$G$15+AQ22/AQ$6*Mapping!$G$16+AR22/AR$6*Mapping!$G$17+AS22/AS$6*Mapping!$G$18+AT22/AT$6*Mapping!$G$19+AU22/AU$6*Mapping!$G$20+AV22/AV$6*Mapping!$G$21+AW22/AW$6*Mapping!$G$22+AX22/AX$6*Mapping!$G$23)/SUM(Mapping!$G$15:$G$23),"")</f>
        <v/>
      </c>
      <c r="BI22" s="64">
        <f>IFERROR((AP22/AP$6*Mapping!$H$15+AQ22/AQ$6*Mapping!$H$16+AR22/AR$6*Mapping!$H$17+AS22/AS$6*Mapping!$H$18+AT22/AT$6*Mapping!$H$19+AU22/AU$6*Mapping!$H$20+AV22/AV$6*Mapping!$H$21+AW22/AW$6*Mapping!$H$22+AX22/AX$6*Mapping!$H$23)/SUM(Mapping!$H$15:$H$23),"")</f>
        <v/>
      </c>
      <c r="BJ22" s="64">
        <f>IFERROR((AP22/AP$6*Mapping!$I$15+AQ22/AQ$6*Mapping!$I$16+AR22/AR$6*Mapping!$I$17+AS22/AS$6*Mapping!$I$18+AT22/AT$6*Mapping!$I$19+AU22/AU$6*Mapping!$I$20+AV22/AV$6*Mapping!$I$21+AW22/AW$6*Mapping!$I$22+AX22/AX$6*Mapping!$I$23)/SUM(Mapping!$I$15:$I$23),"")</f>
        <v/>
      </c>
      <c r="BK22" s="64">
        <f>IFERROR((AP22/AP$6*Mapping!$J$15+AQ22/AQ$6*Mapping!$J$16+AR22/AR$6*Mapping!$J$17+AS22/AS$6*Mapping!$J$18+AT22/AT$6*Mapping!$J$19+AU22/AU$6*Mapping!$J$20+AV22/AV$6*Mapping!$J$21+AW22/AW$6*Mapping!$J$22+AX22/AX$6*Mapping!$J$23)/SUM(Mapping!$J$15:$J$23),"")</f>
        <v/>
      </c>
      <c r="BL22" s="64">
        <f>IFERROR((AP22/AP$6*Mapping!$K$15+AQ22/AQ$6*Mapping!$K$16+AR22/AR$6*Mapping!$K$17+AS22/AS$6*Mapping!$K$18+AT22/AT$6*Mapping!$K$19+AU22/AU$6*Mapping!$K$20+AV22/AV$6*Mapping!$K$21+AW22/AW$6*Mapping!$K$22+AX22/AX$6*Mapping!$K$23)/SUM(Mapping!$K$15:$K$23),"")</f>
        <v/>
      </c>
      <c r="BM22" s="64">
        <f>IFERROR((AP22/AP$6*Mapping!$L$15+AQ22/AQ$6*Mapping!$L$16+AR22/AR$6*Mapping!$L$17+AS22/AS$6*Mapping!$L$18+AT22/AT$6*Mapping!$L$19+AU22/AU$6*Mapping!$L$20+AV22/AV$6*Mapping!$L$21+AW22/AW$6*Mapping!$L$22+AX22/AX$6*Mapping!$L$23)/SUM(Mapping!$L$15:$L$23),"")</f>
        <v/>
      </c>
      <c r="BN22" s="64">
        <f>IFERROR((AP22/AP$6*Mapping!$M$15+AQ22/AQ$6*Mapping!$M$16+AR22/AR$6*Mapping!$M$17+AS22/AS$6*Mapping!$M$18+AT22/AT$6*Mapping!$M$19+AU22/AU$6*Mapping!$M$20+AV22/AV$6*Mapping!$M$21+AW22/AW$6*Mapping!$M$22+AX22/AX$6*Mapping!$M$23)/SUM(Mapping!$M$15:$M$23),"")</f>
        <v/>
      </c>
      <c r="BO22" s="64">
        <f>IFERROR((AP22/AP$6*Mapping!$N$15+AQ22/AQ$6*Mapping!$N$16+AR22/AR$6*Mapping!$N$17+AS22/AS$6*Mapping!$N$18+AT22/AT$6*Mapping!$N$19+AU22/AU$6*Mapping!$N$20+AV22/AV$6*Mapping!$N$21+AW22/AW$6*Mapping!$N$22+AX22/AX$6*Mapping!$N$23)/SUM(Mapping!$N$15:$N$23),"")</f>
        <v/>
      </c>
      <c r="BP22" s="64">
        <f>IFERROR((AP22/AP$6*Mapping!$O$15+AQ22/AQ$6*Mapping!$O$16+AR22/AR$6*Mapping!$O$17+AS22/AS$6*Mapping!$O$18+AT22/AT$6*Mapping!$O$19+AU22/AU$6*Mapping!$O$20+AV22/AV$6*Mapping!$O$21+AW22/AW$6*Mapping!$O$22+AX22/AX$6*Mapping!$O$23)/SUM(Mapping!$O$15:$O$23),"")</f>
        <v/>
      </c>
      <c r="BQ22" s="64">
        <f>IFERROR((AP22/AP$6*Mapping!$P$15+AQ22/AQ$6*Mapping!$P$16+AR22/AR$6*Mapping!$P$17+AS22/AS$6*Mapping!$P$18+AT22/AT$6*Mapping!$P$19+AU22/AU$6*Mapping!$P$20+AV22/AV$6*Mapping!$P$21+AW22/AW$6*Mapping!$P$22+AX22/AX$6*Mapping!$P$23)/SUM(Mapping!$P$15:$P$23),"")</f>
        <v/>
      </c>
      <c r="BR22" s="65">
        <f>IF(BA22="","",BA22+N(AS22)/10000)</f>
        <v/>
      </c>
    </row>
    <row r="23" ht="30" customHeight="1">
      <c r="A23" s="28" t="n">
        <v>17</v>
      </c>
      <c r="B23" s="29" t="inlineStr">
        <is>
          <t>3rd Sem - B</t>
        </is>
      </c>
      <c r="C23" s="29" t="n"/>
      <c r="D23" s="6" t="n"/>
      <c r="E23" s="6" t="n"/>
      <c r="F23" s="29" t="n"/>
      <c r="G23" s="29" t="n"/>
      <c r="H23" s="6" t="n"/>
      <c r="I23" s="29" t="n"/>
      <c r="J23" s="29" t="n"/>
      <c r="K23" s="29" t="n"/>
      <c r="L23" s="29" t="n"/>
      <c r="M23" s="29" t="n"/>
      <c r="N23" s="29" t="n"/>
      <c r="O23" s="29" t="n"/>
      <c r="P23" s="29" t="n"/>
      <c r="Q23" s="29" t="n"/>
      <c r="R23" s="29" t="n"/>
      <c r="S23" s="29" t="n"/>
      <c r="T23" s="29" t="n"/>
      <c r="U23" s="29" t="n"/>
      <c r="V23" s="29" t="n"/>
      <c r="W23" s="29" t="n"/>
      <c r="X23" s="29" t="n"/>
      <c r="Y23" s="29" t="n"/>
      <c r="Z23" s="29" t="n"/>
      <c r="AA23" s="29" t="n"/>
      <c r="AB23" s="29" t="n"/>
      <c r="AC23" s="29" t="n"/>
      <c r="AD23" s="29" t="n"/>
      <c r="AE23" s="29" t="n"/>
      <c r="AF23" s="29" t="n"/>
      <c r="AG23" s="29" t="n"/>
      <c r="AH23" s="29" t="n"/>
      <c r="AI23" s="29" t="n"/>
      <c r="AJ23" s="29" t="n"/>
      <c r="AK23" s="29" t="n"/>
      <c r="AL23" s="29" t="n"/>
      <c r="AM23" s="29" t="n"/>
      <c r="AN23" s="29" t="n"/>
      <c r="AO23" s="29" t="n"/>
      <c r="AP23" s="59">
        <f>IF(COUNT(I23,T23,AE23)=0,"",AVERAGE(I23,T23,AE23))</f>
        <v/>
      </c>
      <c r="AQ23" s="59">
        <f>IF(COUNT(J23,U23,AF23)=0,"",AVERAGE(J23,U23,AF23))</f>
        <v/>
      </c>
      <c r="AR23" s="59">
        <f>IF(COUNT(K23,V23,AG23)=0,"",AVERAGE(K23,V23,AG23))</f>
        <v/>
      </c>
      <c r="AS23" s="59">
        <f>IF(COUNT(L23,W23,AH23)=0,"",AVERAGE(L23,W23,AH23))</f>
        <v/>
      </c>
      <c r="AT23" s="59">
        <f>IF(COUNT(M23,X23,AI23)=0,"",AVERAGE(M23,X23,AI23))</f>
        <v/>
      </c>
      <c r="AU23" s="59">
        <f>IF(COUNT(N23,Y23,AJ23)=0,"",AVERAGE(N23,Y23,AJ23))</f>
        <v/>
      </c>
      <c r="AV23" s="59">
        <f>IF(COUNT(O23,Z23,AK23)=0,"",AVERAGE(O23,Z23,AK23))</f>
        <v/>
      </c>
      <c r="AW23" s="59">
        <f>IF(COUNT(P23,AA23,AL23)=0,"",AVERAGE(P23,AA23,AL23))</f>
        <v/>
      </c>
      <c r="AX23" s="59">
        <f>IF(COUNT(Q23,AB23,AM23)=0,"",AVERAGE(Q23,AB23,AM23))</f>
        <v/>
      </c>
      <c r="AY23" s="60">
        <f>IF(OR($F23="",COUNT(R23,AC23,AN23)=0),"",AVERAGE(R23,AC23,AN23))</f>
        <v/>
      </c>
      <c r="AZ23" s="60">
        <f>IF(OR($G23="",$G23=$F23,COUNT(S23,AD23,AO23)=0),"",AVERAGE(S23,AD23,AO23))</f>
        <v/>
      </c>
      <c r="BA23" s="61">
        <f>IF(COUNT(AP23:AX23)=0,"",SUM(AP23:AX23))</f>
        <v/>
      </c>
      <c r="BB23" s="62">
        <f>IF(BA23="","",BA23/BA$6)</f>
        <v/>
      </c>
      <c r="BC23" s="14">
        <f>IF(BR23="","",COUNTIF($BR$7:$BR$26,"&gt;"&amp;BR23)+COUNTIF($BR$7:BR23,BR23))</f>
        <v/>
      </c>
      <c r="BD23" s="63">
        <f>IF(BC23="","",IF(BC23&lt;=Mapping!$C$11,"Shortlisted","Not shortlisted"))</f>
        <v/>
      </c>
      <c r="BE23" s="64">
        <f>IFERROR((AP23/AP$6*Mapping!$D$15+AQ23/AQ$6*Mapping!$D$16+AR23/AR$6*Mapping!$D$17+AS23/AS$6*Mapping!$D$18+AT23/AT$6*Mapping!$D$19+AU23/AU$6*Mapping!$D$20+AV23/AV$6*Mapping!$D$21+AW23/AW$6*Mapping!$D$22+AX23/AX$6*Mapping!$D$23)/SUM(Mapping!$D$15:$D$23),"")</f>
        <v/>
      </c>
      <c r="BF23" s="64">
        <f>IFERROR((AP23/AP$6*Mapping!$E$15+AQ23/AQ$6*Mapping!$E$16+AR23/AR$6*Mapping!$E$17+AS23/AS$6*Mapping!$E$18+AT23/AT$6*Mapping!$E$19+AU23/AU$6*Mapping!$E$20+AV23/AV$6*Mapping!$E$21+AW23/AW$6*Mapping!$E$22+AX23/AX$6*Mapping!$E$23)/SUM(Mapping!$E$15:$E$23),"")</f>
        <v/>
      </c>
      <c r="BG23" s="64">
        <f>IFERROR((AP23/AP$6*Mapping!$F$15+AQ23/AQ$6*Mapping!$F$16+AR23/AR$6*Mapping!$F$17+AS23/AS$6*Mapping!$F$18+AT23/AT$6*Mapping!$F$19+AU23/AU$6*Mapping!$F$20+AV23/AV$6*Mapping!$F$21+AW23/AW$6*Mapping!$F$22+AX23/AX$6*Mapping!$F$23)/SUM(Mapping!$F$15:$F$23),"")</f>
        <v/>
      </c>
      <c r="BH23" s="64">
        <f>IFERROR((AP23/AP$6*Mapping!$G$15+AQ23/AQ$6*Mapping!$G$16+AR23/AR$6*Mapping!$G$17+AS23/AS$6*Mapping!$G$18+AT23/AT$6*Mapping!$G$19+AU23/AU$6*Mapping!$G$20+AV23/AV$6*Mapping!$G$21+AW23/AW$6*Mapping!$G$22+AX23/AX$6*Mapping!$G$23)/SUM(Mapping!$G$15:$G$23),"")</f>
        <v/>
      </c>
      <c r="BI23" s="64">
        <f>IFERROR((AP23/AP$6*Mapping!$H$15+AQ23/AQ$6*Mapping!$H$16+AR23/AR$6*Mapping!$H$17+AS23/AS$6*Mapping!$H$18+AT23/AT$6*Mapping!$H$19+AU23/AU$6*Mapping!$H$20+AV23/AV$6*Mapping!$H$21+AW23/AW$6*Mapping!$H$22+AX23/AX$6*Mapping!$H$23)/SUM(Mapping!$H$15:$H$23),"")</f>
        <v/>
      </c>
      <c r="BJ23" s="64">
        <f>IFERROR((AP23/AP$6*Mapping!$I$15+AQ23/AQ$6*Mapping!$I$16+AR23/AR$6*Mapping!$I$17+AS23/AS$6*Mapping!$I$18+AT23/AT$6*Mapping!$I$19+AU23/AU$6*Mapping!$I$20+AV23/AV$6*Mapping!$I$21+AW23/AW$6*Mapping!$I$22+AX23/AX$6*Mapping!$I$23)/SUM(Mapping!$I$15:$I$23),"")</f>
        <v/>
      </c>
      <c r="BK23" s="64">
        <f>IFERROR((AP23/AP$6*Mapping!$J$15+AQ23/AQ$6*Mapping!$J$16+AR23/AR$6*Mapping!$J$17+AS23/AS$6*Mapping!$J$18+AT23/AT$6*Mapping!$J$19+AU23/AU$6*Mapping!$J$20+AV23/AV$6*Mapping!$J$21+AW23/AW$6*Mapping!$J$22+AX23/AX$6*Mapping!$J$23)/SUM(Mapping!$J$15:$J$23),"")</f>
        <v/>
      </c>
      <c r="BL23" s="64">
        <f>IFERROR((AP23/AP$6*Mapping!$K$15+AQ23/AQ$6*Mapping!$K$16+AR23/AR$6*Mapping!$K$17+AS23/AS$6*Mapping!$K$18+AT23/AT$6*Mapping!$K$19+AU23/AU$6*Mapping!$K$20+AV23/AV$6*Mapping!$K$21+AW23/AW$6*Mapping!$K$22+AX23/AX$6*Mapping!$K$23)/SUM(Mapping!$K$15:$K$23),"")</f>
        <v/>
      </c>
      <c r="BM23" s="64">
        <f>IFERROR((AP23/AP$6*Mapping!$L$15+AQ23/AQ$6*Mapping!$L$16+AR23/AR$6*Mapping!$L$17+AS23/AS$6*Mapping!$L$18+AT23/AT$6*Mapping!$L$19+AU23/AU$6*Mapping!$L$20+AV23/AV$6*Mapping!$L$21+AW23/AW$6*Mapping!$L$22+AX23/AX$6*Mapping!$L$23)/SUM(Mapping!$L$15:$L$23),"")</f>
        <v/>
      </c>
      <c r="BN23" s="64">
        <f>IFERROR((AP23/AP$6*Mapping!$M$15+AQ23/AQ$6*Mapping!$M$16+AR23/AR$6*Mapping!$M$17+AS23/AS$6*Mapping!$M$18+AT23/AT$6*Mapping!$M$19+AU23/AU$6*Mapping!$M$20+AV23/AV$6*Mapping!$M$21+AW23/AW$6*Mapping!$M$22+AX23/AX$6*Mapping!$M$23)/SUM(Mapping!$M$15:$M$23),"")</f>
        <v/>
      </c>
      <c r="BO23" s="64">
        <f>IFERROR((AP23/AP$6*Mapping!$N$15+AQ23/AQ$6*Mapping!$N$16+AR23/AR$6*Mapping!$N$17+AS23/AS$6*Mapping!$N$18+AT23/AT$6*Mapping!$N$19+AU23/AU$6*Mapping!$N$20+AV23/AV$6*Mapping!$N$21+AW23/AW$6*Mapping!$N$22+AX23/AX$6*Mapping!$N$23)/SUM(Mapping!$N$15:$N$23),"")</f>
        <v/>
      </c>
      <c r="BP23" s="64">
        <f>IFERROR((AP23/AP$6*Mapping!$O$15+AQ23/AQ$6*Mapping!$O$16+AR23/AR$6*Mapping!$O$17+AS23/AS$6*Mapping!$O$18+AT23/AT$6*Mapping!$O$19+AU23/AU$6*Mapping!$O$20+AV23/AV$6*Mapping!$O$21+AW23/AW$6*Mapping!$O$22+AX23/AX$6*Mapping!$O$23)/SUM(Mapping!$O$15:$O$23),"")</f>
        <v/>
      </c>
      <c r="BQ23" s="64">
        <f>IFERROR((AP23/AP$6*Mapping!$P$15+AQ23/AQ$6*Mapping!$P$16+AR23/AR$6*Mapping!$P$17+AS23/AS$6*Mapping!$P$18+AT23/AT$6*Mapping!$P$19+AU23/AU$6*Mapping!$P$20+AV23/AV$6*Mapping!$P$21+AW23/AW$6*Mapping!$P$22+AX23/AX$6*Mapping!$P$23)/SUM(Mapping!$P$15:$P$23),"")</f>
        <v/>
      </c>
      <c r="BR23" s="65">
        <f>IF(BA23="","",BA23+N(AS23)/10000)</f>
        <v/>
      </c>
    </row>
    <row r="24" ht="30" customHeight="1">
      <c r="A24" s="28" t="n">
        <v>18</v>
      </c>
      <c r="B24" s="29" t="inlineStr">
        <is>
          <t>3rd Sem - B</t>
        </is>
      </c>
      <c r="C24" s="29" t="n"/>
      <c r="D24" s="6" t="n"/>
      <c r="E24" s="6" t="n"/>
      <c r="F24" s="29" t="n"/>
      <c r="G24" s="29" t="n"/>
      <c r="H24" s="6" t="n"/>
      <c r="I24" s="29" t="n"/>
      <c r="J24" s="29" t="n"/>
      <c r="K24" s="29" t="n"/>
      <c r="L24" s="29" t="n"/>
      <c r="M24" s="29" t="n"/>
      <c r="N24" s="29" t="n"/>
      <c r="O24" s="29" t="n"/>
      <c r="P24" s="29" t="n"/>
      <c r="Q24" s="29" t="n"/>
      <c r="R24" s="29" t="n"/>
      <c r="S24" s="29" t="n"/>
      <c r="T24" s="29" t="n"/>
      <c r="U24" s="29" t="n"/>
      <c r="V24" s="29" t="n"/>
      <c r="W24" s="29" t="n"/>
      <c r="X24" s="29" t="n"/>
      <c r="Y24" s="29" t="n"/>
      <c r="Z24" s="29" t="n"/>
      <c r="AA24" s="29" t="n"/>
      <c r="AB24" s="29" t="n"/>
      <c r="AC24" s="29" t="n"/>
      <c r="AD24" s="29" t="n"/>
      <c r="AE24" s="29" t="n"/>
      <c r="AF24" s="29" t="n"/>
      <c r="AG24" s="29" t="n"/>
      <c r="AH24" s="29" t="n"/>
      <c r="AI24" s="29" t="n"/>
      <c r="AJ24" s="29" t="n"/>
      <c r="AK24" s="29" t="n"/>
      <c r="AL24" s="29" t="n"/>
      <c r="AM24" s="29" t="n"/>
      <c r="AN24" s="29" t="n"/>
      <c r="AO24" s="29" t="n"/>
      <c r="AP24" s="59">
        <f>IF(COUNT(I24,T24,AE24)=0,"",AVERAGE(I24,T24,AE24))</f>
        <v/>
      </c>
      <c r="AQ24" s="59">
        <f>IF(COUNT(J24,U24,AF24)=0,"",AVERAGE(J24,U24,AF24))</f>
        <v/>
      </c>
      <c r="AR24" s="59">
        <f>IF(COUNT(K24,V24,AG24)=0,"",AVERAGE(K24,V24,AG24))</f>
        <v/>
      </c>
      <c r="AS24" s="59">
        <f>IF(COUNT(L24,W24,AH24)=0,"",AVERAGE(L24,W24,AH24))</f>
        <v/>
      </c>
      <c r="AT24" s="59">
        <f>IF(COUNT(M24,X24,AI24)=0,"",AVERAGE(M24,X24,AI24))</f>
        <v/>
      </c>
      <c r="AU24" s="59">
        <f>IF(COUNT(N24,Y24,AJ24)=0,"",AVERAGE(N24,Y24,AJ24))</f>
        <v/>
      </c>
      <c r="AV24" s="59">
        <f>IF(COUNT(O24,Z24,AK24)=0,"",AVERAGE(O24,Z24,AK24))</f>
        <v/>
      </c>
      <c r="AW24" s="59">
        <f>IF(COUNT(P24,AA24,AL24)=0,"",AVERAGE(P24,AA24,AL24))</f>
        <v/>
      </c>
      <c r="AX24" s="59">
        <f>IF(COUNT(Q24,AB24,AM24)=0,"",AVERAGE(Q24,AB24,AM24))</f>
        <v/>
      </c>
      <c r="AY24" s="60">
        <f>IF(OR($F24="",COUNT(R24,AC24,AN24)=0),"",AVERAGE(R24,AC24,AN24))</f>
        <v/>
      </c>
      <c r="AZ24" s="60">
        <f>IF(OR($G24="",$G24=$F24,COUNT(S24,AD24,AO24)=0),"",AVERAGE(S24,AD24,AO24))</f>
        <v/>
      </c>
      <c r="BA24" s="61">
        <f>IF(COUNT(AP24:AX24)=0,"",SUM(AP24:AX24))</f>
        <v/>
      </c>
      <c r="BB24" s="62">
        <f>IF(BA24="","",BA24/BA$6)</f>
        <v/>
      </c>
      <c r="BC24" s="14">
        <f>IF(BR24="","",COUNTIF($BR$7:$BR$26,"&gt;"&amp;BR24)+COUNTIF($BR$7:BR24,BR24))</f>
        <v/>
      </c>
      <c r="BD24" s="63">
        <f>IF(BC24="","",IF(BC24&lt;=Mapping!$C$11,"Shortlisted","Not shortlisted"))</f>
        <v/>
      </c>
      <c r="BE24" s="64">
        <f>IFERROR((AP24/AP$6*Mapping!$D$15+AQ24/AQ$6*Mapping!$D$16+AR24/AR$6*Mapping!$D$17+AS24/AS$6*Mapping!$D$18+AT24/AT$6*Mapping!$D$19+AU24/AU$6*Mapping!$D$20+AV24/AV$6*Mapping!$D$21+AW24/AW$6*Mapping!$D$22+AX24/AX$6*Mapping!$D$23)/SUM(Mapping!$D$15:$D$23),"")</f>
        <v/>
      </c>
      <c r="BF24" s="64">
        <f>IFERROR((AP24/AP$6*Mapping!$E$15+AQ24/AQ$6*Mapping!$E$16+AR24/AR$6*Mapping!$E$17+AS24/AS$6*Mapping!$E$18+AT24/AT$6*Mapping!$E$19+AU24/AU$6*Mapping!$E$20+AV24/AV$6*Mapping!$E$21+AW24/AW$6*Mapping!$E$22+AX24/AX$6*Mapping!$E$23)/SUM(Mapping!$E$15:$E$23),"")</f>
        <v/>
      </c>
      <c r="BG24" s="64">
        <f>IFERROR((AP24/AP$6*Mapping!$F$15+AQ24/AQ$6*Mapping!$F$16+AR24/AR$6*Mapping!$F$17+AS24/AS$6*Mapping!$F$18+AT24/AT$6*Mapping!$F$19+AU24/AU$6*Mapping!$F$20+AV24/AV$6*Mapping!$F$21+AW24/AW$6*Mapping!$F$22+AX24/AX$6*Mapping!$F$23)/SUM(Mapping!$F$15:$F$23),"")</f>
        <v/>
      </c>
      <c r="BH24" s="64">
        <f>IFERROR((AP24/AP$6*Mapping!$G$15+AQ24/AQ$6*Mapping!$G$16+AR24/AR$6*Mapping!$G$17+AS24/AS$6*Mapping!$G$18+AT24/AT$6*Mapping!$G$19+AU24/AU$6*Mapping!$G$20+AV24/AV$6*Mapping!$G$21+AW24/AW$6*Mapping!$G$22+AX24/AX$6*Mapping!$G$23)/SUM(Mapping!$G$15:$G$23),"")</f>
        <v/>
      </c>
      <c r="BI24" s="64">
        <f>IFERROR((AP24/AP$6*Mapping!$H$15+AQ24/AQ$6*Mapping!$H$16+AR24/AR$6*Mapping!$H$17+AS24/AS$6*Mapping!$H$18+AT24/AT$6*Mapping!$H$19+AU24/AU$6*Mapping!$H$20+AV24/AV$6*Mapping!$H$21+AW24/AW$6*Mapping!$H$22+AX24/AX$6*Mapping!$H$23)/SUM(Mapping!$H$15:$H$23),"")</f>
        <v/>
      </c>
      <c r="BJ24" s="64">
        <f>IFERROR((AP24/AP$6*Mapping!$I$15+AQ24/AQ$6*Mapping!$I$16+AR24/AR$6*Mapping!$I$17+AS24/AS$6*Mapping!$I$18+AT24/AT$6*Mapping!$I$19+AU24/AU$6*Mapping!$I$20+AV24/AV$6*Mapping!$I$21+AW24/AW$6*Mapping!$I$22+AX24/AX$6*Mapping!$I$23)/SUM(Mapping!$I$15:$I$23),"")</f>
        <v/>
      </c>
      <c r="BK24" s="64">
        <f>IFERROR((AP24/AP$6*Mapping!$J$15+AQ24/AQ$6*Mapping!$J$16+AR24/AR$6*Mapping!$J$17+AS24/AS$6*Mapping!$J$18+AT24/AT$6*Mapping!$J$19+AU24/AU$6*Mapping!$J$20+AV24/AV$6*Mapping!$J$21+AW24/AW$6*Mapping!$J$22+AX24/AX$6*Mapping!$J$23)/SUM(Mapping!$J$15:$J$23),"")</f>
        <v/>
      </c>
      <c r="BL24" s="64">
        <f>IFERROR((AP24/AP$6*Mapping!$K$15+AQ24/AQ$6*Mapping!$K$16+AR24/AR$6*Mapping!$K$17+AS24/AS$6*Mapping!$K$18+AT24/AT$6*Mapping!$K$19+AU24/AU$6*Mapping!$K$20+AV24/AV$6*Mapping!$K$21+AW24/AW$6*Mapping!$K$22+AX24/AX$6*Mapping!$K$23)/SUM(Mapping!$K$15:$K$23),"")</f>
        <v/>
      </c>
      <c r="BM24" s="64">
        <f>IFERROR((AP24/AP$6*Mapping!$L$15+AQ24/AQ$6*Mapping!$L$16+AR24/AR$6*Mapping!$L$17+AS24/AS$6*Mapping!$L$18+AT24/AT$6*Mapping!$L$19+AU24/AU$6*Mapping!$L$20+AV24/AV$6*Mapping!$L$21+AW24/AW$6*Mapping!$L$22+AX24/AX$6*Mapping!$L$23)/SUM(Mapping!$L$15:$L$23),"")</f>
        <v/>
      </c>
      <c r="BN24" s="64">
        <f>IFERROR((AP24/AP$6*Mapping!$M$15+AQ24/AQ$6*Mapping!$M$16+AR24/AR$6*Mapping!$M$17+AS24/AS$6*Mapping!$M$18+AT24/AT$6*Mapping!$M$19+AU24/AU$6*Mapping!$M$20+AV24/AV$6*Mapping!$M$21+AW24/AW$6*Mapping!$M$22+AX24/AX$6*Mapping!$M$23)/SUM(Mapping!$M$15:$M$23),"")</f>
        <v/>
      </c>
      <c r="BO24" s="64">
        <f>IFERROR((AP24/AP$6*Mapping!$N$15+AQ24/AQ$6*Mapping!$N$16+AR24/AR$6*Mapping!$N$17+AS24/AS$6*Mapping!$N$18+AT24/AT$6*Mapping!$N$19+AU24/AU$6*Mapping!$N$20+AV24/AV$6*Mapping!$N$21+AW24/AW$6*Mapping!$N$22+AX24/AX$6*Mapping!$N$23)/SUM(Mapping!$N$15:$N$23),"")</f>
        <v/>
      </c>
      <c r="BP24" s="64">
        <f>IFERROR((AP24/AP$6*Mapping!$O$15+AQ24/AQ$6*Mapping!$O$16+AR24/AR$6*Mapping!$O$17+AS24/AS$6*Mapping!$O$18+AT24/AT$6*Mapping!$O$19+AU24/AU$6*Mapping!$O$20+AV24/AV$6*Mapping!$O$21+AW24/AW$6*Mapping!$O$22+AX24/AX$6*Mapping!$O$23)/SUM(Mapping!$O$15:$O$23),"")</f>
        <v/>
      </c>
      <c r="BQ24" s="64">
        <f>IFERROR((AP24/AP$6*Mapping!$P$15+AQ24/AQ$6*Mapping!$P$16+AR24/AR$6*Mapping!$P$17+AS24/AS$6*Mapping!$P$18+AT24/AT$6*Mapping!$P$19+AU24/AU$6*Mapping!$P$20+AV24/AV$6*Mapping!$P$21+AW24/AW$6*Mapping!$P$22+AX24/AX$6*Mapping!$P$23)/SUM(Mapping!$P$15:$P$23),"")</f>
        <v/>
      </c>
      <c r="BR24" s="65">
        <f>IF(BA24="","",BA24+N(AS24)/10000)</f>
        <v/>
      </c>
    </row>
    <row r="25" ht="30" customHeight="1">
      <c r="A25" s="28" t="n">
        <v>19</v>
      </c>
      <c r="B25" s="29" t="inlineStr">
        <is>
          <t>3rd Sem - B</t>
        </is>
      </c>
      <c r="C25" s="29" t="n"/>
      <c r="D25" s="6" t="n"/>
      <c r="E25" s="6" t="n"/>
      <c r="F25" s="29" t="n"/>
      <c r="G25" s="29" t="n"/>
      <c r="H25" s="6" t="n"/>
      <c r="I25" s="29" t="n"/>
      <c r="J25" s="29" t="n"/>
      <c r="K25" s="29" t="n"/>
      <c r="L25" s="29" t="n"/>
      <c r="M25" s="29" t="n"/>
      <c r="N25" s="29" t="n"/>
      <c r="O25" s="29" t="n"/>
      <c r="P25" s="29" t="n"/>
      <c r="Q25" s="29" t="n"/>
      <c r="R25" s="29" t="n"/>
      <c r="S25" s="29" t="n"/>
      <c r="T25" s="29" t="n"/>
      <c r="U25" s="29" t="n"/>
      <c r="V25" s="29" t="n"/>
      <c r="W25" s="29" t="n"/>
      <c r="X25" s="29" t="n"/>
      <c r="Y25" s="29" t="n"/>
      <c r="Z25" s="29" t="n"/>
      <c r="AA25" s="29" t="n"/>
      <c r="AB25" s="29" t="n"/>
      <c r="AC25" s="29" t="n"/>
      <c r="AD25" s="29" t="n"/>
      <c r="AE25" s="29" t="n"/>
      <c r="AF25" s="29" t="n"/>
      <c r="AG25" s="29" t="n"/>
      <c r="AH25" s="29" t="n"/>
      <c r="AI25" s="29" t="n"/>
      <c r="AJ25" s="29" t="n"/>
      <c r="AK25" s="29" t="n"/>
      <c r="AL25" s="29" t="n"/>
      <c r="AM25" s="29" t="n"/>
      <c r="AN25" s="29" t="n"/>
      <c r="AO25" s="29" t="n"/>
      <c r="AP25" s="59">
        <f>IF(COUNT(I25,T25,AE25)=0,"",AVERAGE(I25,T25,AE25))</f>
        <v/>
      </c>
      <c r="AQ25" s="59">
        <f>IF(COUNT(J25,U25,AF25)=0,"",AVERAGE(J25,U25,AF25))</f>
        <v/>
      </c>
      <c r="AR25" s="59">
        <f>IF(COUNT(K25,V25,AG25)=0,"",AVERAGE(K25,V25,AG25))</f>
        <v/>
      </c>
      <c r="AS25" s="59">
        <f>IF(COUNT(L25,W25,AH25)=0,"",AVERAGE(L25,W25,AH25))</f>
        <v/>
      </c>
      <c r="AT25" s="59">
        <f>IF(COUNT(M25,X25,AI25)=0,"",AVERAGE(M25,X25,AI25))</f>
        <v/>
      </c>
      <c r="AU25" s="59">
        <f>IF(COUNT(N25,Y25,AJ25)=0,"",AVERAGE(N25,Y25,AJ25))</f>
        <v/>
      </c>
      <c r="AV25" s="59">
        <f>IF(COUNT(O25,Z25,AK25)=0,"",AVERAGE(O25,Z25,AK25))</f>
        <v/>
      </c>
      <c r="AW25" s="59">
        <f>IF(COUNT(P25,AA25,AL25)=0,"",AVERAGE(P25,AA25,AL25))</f>
        <v/>
      </c>
      <c r="AX25" s="59">
        <f>IF(COUNT(Q25,AB25,AM25)=0,"",AVERAGE(Q25,AB25,AM25))</f>
        <v/>
      </c>
      <c r="AY25" s="60">
        <f>IF(OR($F25="",COUNT(R25,AC25,AN25)=0),"",AVERAGE(R25,AC25,AN25))</f>
        <v/>
      </c>
      <c r="AZ25" s="60">
        <f>IF(OR($G25="",$G25=$F25,COUNT(S25,AD25,AO25)=0),"",AVERAGE(S25,AD25,AO25))</f>
        <v/>
      </c>
      <c r="BA25" s="61">
        <f>IF(COUNT(AP25:AX25)=0,"",SUM(AP25:AX25))</f>
        <v/>
      </c>
      <c r="BB25" s="62">
        <f>IF(BA25="","",BA25/BA$6)</f>
        <v/>
      </c>
      <c r="BC25" s="14">
        <f>IF(BR25="","",COUNTIF($BR$7:$BR$26,"&gt;"&amp;BR25)+COUNTIF($BR$7:BR25,BR25))</f>
        <v/>
      </c>
      <c r="BD25" s="63">
        <f>IF(BC25="","",IF(BC25&lt;=Mapping!$C$11,"Shortlisted","Not shortlisted"))</f>
        <v/>
      </c>
      <c r="BE25" s="64">
        <f>IFERROR((AP25/AP$6*Mapping!$D$15+AQ25/AQ$6*Mapping!$D$16+AR25/AR$6*Mapping!$D$17+AS25/AS$6*Mapping!$D$18+AT25/AT$6*Mapping!$D$19+AU25/AU$6*Mapping!$D$20+AV25/AV$6*Mapping!$D$21+AW25/AW$6*Mapping!$D$22+AX25/AX$6*Mapping!$D$23)/SUM(Mapping!$D$15:$D$23),"")</f>
        <v/>
      </c>
      <c r="BF25" s="64">
        <f>IFERROR((AP25/AP$6*Mapping!$E$15+AQ25/AQ$6*Mapping!$E$16+AR25/AR$6*Mapping!$E$17+AS25/AS$6*Mapping!$E$18+AT25/AT$6*Mapping!$E$19+AU25/AU$6*Mapping!$E$20+AV25/AV$6*Mapping!$E$21+AW25/AW$6*Mapping!$E$22+AX25/AX$6*Mapping!$E$23)/SUM(Mapping!$E$15:$E$23),"")</f>
        <v/>
      </c>
      <c r="BG25" s="64">
        <f>IFERROR((AP25/AP$6*Mapping!$F$15+AQ25/AQ$6*Mapping!$F$16+AR25/AR$6*Mapping!$F$17+AS25/AS$6*Mapping!$F$18+AT25/AT$6*Mapping!$F$19+AU25/AU$6*Mapping!$F$20+AV25/AV$6*Mapping!$F$21+AW25/AW$6*Mapping!$F$22+AX25/AX$6*Mapping!$F$23)/SUM(Mapping!$F$15:$F$23),"")</f>
        <v/>
      </c>
      <c r="BH25" s="64">
        <f>IFERROR((AP25/AP$6*Mapping!$G$15+AQ25/AQ$6*Mapping!$G$16+AR25/AR$6*Mapping!$G$17+AS25/AS$6*Mapping!$G$18+AT25/AT$6*Mapping!$G$19+AU25/AU$6*Mapping!$G$20+AV25/AV$6*Mapping!$G$21+AW25/AW$6*Mapping!$G$22+AX25/AX$6*Mapping!$G$23)/SUM(Mapping!$G$15:$G$23),"")</f>
        <v/>
      </c>
      <c r="BI25" s="64">
        <f>IFERROR((AP25/AP$6*Mapping!$H$15+AQ25/AQ$6*Mapping!$H$16+AR25/AR$6*Mapping!$H$17+AS25/AS$6*Mapping!$H$18+AT25/AT$6*Mapping!$H$19+AU25/AU$6*Mapping!$H$20+AV25/AV$6*Mapping!$H$21+AW25/AW$6*Mapping!$H$22+AX25/AX$6*Mapping!$H$23)/SUM(Mapping!$H$15:$H$23),"")</f>
        <v/>
      </c>
      <c r="BJ25" s="64">
        <f>IFERROR((AP25/AP$6*Mapping!$I$15+AQ25/AQ$6*Mapping!$I$16+AR25/AR$6*Mapping!$I$17+AS25/AS$6*Mapping!$I$18+AT25/AT$6*Mapping!$I$19+AU25/AU$6*Mapping!$I$20+AV25/AV$6*Mapping!$I$21+AW25/AW$6*Mapping!$I$22+AX25/AX$6*Mapping!$I$23)/SUM(Mapping!$I$15:$I$23),"")</f>
        <v/>
      </c>
      <c r="BK25" s="64">
        <f>IFERROR((AP25/AP$6*Mapping!$J$15+AQ25/AQ$6*Mapping!$J$16+AR25/AR$6*Mapping!$J$17+AS25/AS$6*Mapping!$J$18+AT25/AT$6*Mapping!$J$19+AU25/AU$6*Mapping!$J$20+AV25/AV$6*Mapping!$J$21+AW25/AW$6*Mapping!$J$22+AX25/AX$6*Mapping!$J$23)/SUM(Mapping!$J$15:$J$23),"")</f>
        <v/>
      </c>
      <c r="BL25" s="64">
        <f>IFERROR((AP25/AP$6*Mapping!$K$15+AQ25/AQ$6*Mapping!$K$16+AR25/AR$6*Mapping!$K$17+AS25/AS$6*Mapping!$K$18+AT25/AT$6*Mapping!$K$19+AU25/AU$6*Mapping!$K$20+AV25/AV$6*Mapping!$K$21+AW25/AW$6*Mapping!$K$22+AX25/AX$6*Mapping!$K$23)/SUM(Mapping!$K$15:$K$23),"")</f>
        <v/>
      </c>
      <c r="BM25" s="64">
        <f>IFERROR((AP25/AP$6*Mapping!$L$15+AQ25/AQ$6*Mapping!$L$16+AR25/AR$6*Mapping!$L$17+AS25/AS$6*Mapping!$L$18+AT25/AT$6*Mapping!$L$19+AU25/AU$6*Mapping!$L$20+AV25/AV$6*Mapping!$L$21+AW25/AW$6*Mapping!$L$22+AX25/AX$6*Mapping!$L$23)/SUM(Mapping!$L$15:$L$23),"")</f>
        <v/>
      </c>
      <c r="BN25" s="64">
        <f>IFERROR((AP25/AP$6*Mapping!$M$15+AQ25/AQ$6*Mapping!$M$16+AR25/AR$6*Mapping!$M$17+AS25/AS$6*Mapping!$M$18+AT25/AT$6*Mapping!$M$19+AU25/AU$6*Mapping!$M$20+AV25/AV$6*Mapping!$M$21+AW25/AW$6*Mapping!$M$22+AX25/AX$6*Mapping!$M$23)/SUM(Mapping!$M$15:$M$23),"")</f>
        <v/>
      </c>
      <c r="BO25" s="64">
        <f>IFERROR((AP25/AP$6*Mapping!$N$15+AQ25/AQ$6*Mapping!$N$16+AR25/AR$6*Mapping!$N$17+AS25/AS$6*Mapping!$N$18+AT25/AT$6*Mapping!$N$19+AU25/AU$6*Mapping!$N$20+AV25/AV$6*Mapping!$N$21+AW25/AW$6*Mapping!$N$22+AX25/AX$6*Mapping!$N$23)/SUM(Mapping!$N$15:$N$23),"")</f>
        <v/>
      </c>
      <c r="BP25" s="64">
        <f>IFERROR((AP25/AP$6*Mapping!$O$15+AQ25/AQ$6*Mapping!$O$16+AR25/AR$6*Mapping!$O$17+AS25/AS$6*Mapping!$O$18+AT25/AT$6*Mapping!$O$19+AU25/AU$6*Mapping!$O$20+AV25/AV$6*Mapping!$O$21+AW25/AW$6*Mapping!$O$22+AX25/AX$6*Mapping!$O$23)/SUM(Mapping!$O$15:$O$23),"")</f>
        <v/>
      </c>
      <c r="BQ25" s="64">
        <f>IFERROR((AP25/AP$6*Mapping!$P$15+AQ25/AQ$6*Mapping!$P$16+AR25/AR$6*Mapping!$P$17+AS25/AS$6*Mapping!$P$18+AT25/AT$6*Mapping!$P$19+AU25/AU$6*Mapping!$P$20+AV25/AV$6*Mapping!$P$21+AW25/AW$6*Mapping!$P$22+AX25/AX$6*Mapping!$P$23)/SUM(Mapping!$P$15:$P$23),"")</f>
        <v/>
      </c>
      <c r="BR25" s="65">
        <f>IF(BA25="","",BA25+N(AS25)/10000)</f>
        <v/>
      </c>
    </row>
    <row r="26" ht="30" customHeight="1">
      <c r="A26" s="28" t="n">
        <v>20</v>
      </c>
      <c r="B26" s="29" t="inlineStr">
        <is>
          <t>3rd Sem - B</t>
        </is>
      </c>
      <c r="C26" s="29" t="n"/>
      <c r="D26" s="6" t="n"/>
      <c r="E26" s="6" t="n"/>
      <c r="F26" s="29" t="n"/>
      <c r="G26" s="29" t="n"/>
      <c r="H26" s="6" t="n"/>
      <c r="I26" s="29" t="n"/>
      <c r="J26" s="29" t="n"/>
      <c r="K26" s="29" t="n"/>
      <c r="L26" s="29" t="n"/>
      <c r="M26" s="29" t="n"/>
      <c r="N26" s="29" t="n"/>
      <c r="O26" s="29" t="n"/>
      <c r="P26" s="29" t="n"/>
      <c r="Q26" s="29" t="n"/>
      <c r="R26" s="29" t="n"/>
      <c r="S26" s="29" t="n"/>
      <c r="T26" s="29" t="n"/>
      <c r="U26" s="29" t="n"/>
      <c r="V26" s="29" t="n"/>
      <c r="W26" s="29" t="n"/>
      <c r="X26" s="29" t="n"/>
      <c r="Y26" s="29" t="n"/>
      <c r="Z26" s="29" t="n"/>
      <c r="AA26" s="29" t="n"/>
      <c r="AB26" s="29" t="n"/>
      <c r="AC26" s="29" t="n"/>
      <c r="AD26" s="29" t="n"/>
      <c r="AE26" s="29" t="n"/>
      <c r="AF26" s="29" t="n"/>
      <c r="AG26" s="29" t="n"/>
      <c r="AH26" s="29" t="n"/>
      <c r="AI26" s="29" t="n"/>
      <c r="AJ26" s="29" t="n"/>
      <c r="AK26" s="29" t="n"/>
      <c r="AL26" s="29" t="n"/>
      <c r="AM26" s="29" t="n"/>
      <c r="AN26" s="29" t="n"/>
      <c r="AO26" s="29" t="n"/>
      <c r="AP26" s="59">
        <f>IF(COUNT(I26,T26,AE26)=0,"",AVERAGE(I26,T26,AE26))</f>
        <v/>
      </c>
      <c r="AQ26" s="59">
        <f>IF(COUNT(J26,U26,AF26)=0,"",AVERAGE(J26,U26,AF26))</f>
        <v/>
      </c>
      <c r="AR26" s="59">
        <f>IF(COUNT(K26,V26,AG26)=0,"",AVERAGE(K26,V26,AG26))</f>
        <v/>
      </c>
      <c r="AS26" s="59">
        <f>IF(COUNT(L26,W26,AH26)=0,"",AVERAGE(L26,W26,AH26))</f>
        <v/>
      </c>
      <c r="AT26" s="59">
        <f>IF(COUNT(M26,X26,AI26)=0,"",AVERAGE(M26,X26,AI26))</f>
        <v/>
      </c>
      <c r="AU26" s="59">
        <f>IF(COUNT(N26,Y26,AJ26)=0,"",AVERAGE(N26,Y26,AJ26))</f>
        <v/>
      </c>
      <c r="AV26" s="59">
        <f>IF(COUNT(O26,Z26,AK26)=0,"",AVERAGE(O26,Z26,AK26))</f>
        <v/>
      </c>
      <c r="AW26" s="59">
        <f>IF(COUNT(P26,AA26,AL26)=0,"",AVERAGE(P26,AA26,AL26))</f>
        <v/>
      </c>
      <c r="AX26" s="59">
        <f>IF(COUNT(Q26,AB26,AM26)=0,"",AVERAGE(Q26,AB26,AM26))</f>
        <v/>
      </c>
      <c r="AY26" s="60">
        <f>IF(OR($F26="",COUNT(R26,AC26,AN26)=0),"",AVERAGE(R26,AC26,AN26))</f>
        <v/>
      </c>
      <c r="AZ26" s="60">
        <f>IF(OR($G26="",$G26=$F26,COUNT(S26,AD26,AO26)=0),"",AVERAGE(S26,AD26,AO26))</f>
        <v/>
      </c>
      <c r="BA26" s="61">
        <f>IF(COUNT(AP26:AX26)=0,"",SUM(AP26:AX26))</f>
        <v/>
      </c>
      <c r="BB26" s="62">
        <f>IF(BA26="","",BA26/BA$6)</f>
        <v/>
      </c>
      <c r="BC26" s="14">
        <f>IF(BR26="","",COUNTIF($BR$7:$BR$26,"&gt;"&amp;BR26)+COUNTIF($BR$7:BR26,BR26))</f>
        <v/>
      </c>
      <c r="BD26" s="63">
        <f>IF(BC26="","",IF(BC26&lt;=Mapping!$C$11,"Shortlisted","Not shortlisted"))</f>
        <v/>
      </c>
      <c r="BE26" s="64">
        <f>IFERROR((AP26/AP$6*Mapping!$D$15+AQ26/AQ$6*Mapping!$D$16+AR26/AR$6*Mapping!$D$17+AS26/AS$6*Mapping!$D$18+AT26/AT$6*Mapping!$D$19+AU26/AU$6*Mapping!$D$20+AV26/AV$6*Mapping!$D$21+AW26/AW$6*Mapping!$D$22+AX26/AX$6*Mapping!$D$23)/SUM(Mapping!$D$15:$D$23),"")</f>
        <v/>
      </c>
      <c r="BF26" s="64">
        <f>IFERROR((AP26/AP$6*Mapping!$E$15+AQ26/AQ$6*Mapping!$E$16+AR26/AR$6*Mapping!$E$17+AS26/AS$6*Mapping!$E$18+AT26/AT$6*Mapping!$E$19+AU26/AU$6*Mapping!$E$20+AV26/AV$6*Mapping!$E$21+AW26/AW$6*Mapping!$E$22+AX26/AX$6*Mapping!$E$23)/SUM(Mapping!$E$15:$E$23),"")</f>
        <v/>
      </c>
      <c r="BG26" s="64">
        <f>IFERROR((AP26/AP$6*Mapping!$F$15+AQ26/AQ$6*Mapping!$F$16+AR26/AR$6*Mapping!$F$17+AS26/AS$6*Mapping!$F$18+AT26/AT$6*Mapping!$F$19+AU26/AU$6*Mapping!$F$20+AV26/AV$6*Mapping!$F$21+AW26/AW$6*Mapping!$F$22+AX26/AX$6*Mapping!$F$23)/SUM(Mapping!$F$15:$F$23),"")</f>
        <v/>
      </c>
      <c r="BH26" s="64">
        <f>IFERROR((AP26/AP$6*Mapping!$G$15+AQ26/AQ$6*Mapping!$G$16+AR26/AR$6*Mapping!$G$17+AS26/AS$6*Mapping!$G$18+AT26/AT$6*Mapping!$G$19+AU26/AU$6*Mapping!$G$20+AV26/AV$6*Mapping!$G$21+AW26/AW$6*Mapping!$G$22+AX26/AX$6*Mapping!$G$23)/SUM(Mapping!$G$15:$G$23),"")</f>
        <v/>
      </c>
      <c r="BI26" s="64">
        <f>IFERROR((AP26/AP$6*Mapping!$H$15+AQ26/AQ$6*Mapping!$H$16+AR26/AR$6*Mapping!$H$17+AS26/AS$6*Mapping!$H$18+AT26/AT$6*Mapping!$H$19+AU26/AU$6*Mapping!$H$20+AV26/AV$6*Mapping!$H$21+AW26/AW$6*Mapping!$H$22+AX26/AX$6*Mapping!$H$23)/SUM(Mapping!$H$15:$H$23),"")</f>
        <v/>
      </c>
      <c r="BJ26" s="64">
        <f>IFERROR((AP26/AP$6*Mapping!$I$15+AQ26/AQ$6*Mapping!$I$16+AR26/AR$6*Mapping!$I$17+AS26/AS$6*Mapping!$I$18+AT26/AT$6*Mapping!$I$19+AU26/AU$6*Mapping!$I$20+AV26/AV$6*Mapping!$I$21+AW26/AW$6*Mapping!$I$22+AX26/AX$6*Mapping!$I$23)/SUM(Mapping!$I$15:$I$23),"")</f>
        <v/>
      </c>
      <c r="BK26" s="64">
        <f>IFERROR((AP26/AP$6*Mapping!$J$15+AQ26/AQ$6*Mapping!$J$16+AR26/AR$6*Mapping!$J$17+AS26/AS$6*Mapping!$J$18+AT26/AT$6*Mapping!$J$19+AU26/AU$6*Mapping!$J$20+AV26/AV$6*Mapping!$J$21+AW26/AW$6*Mapping!$J$22+AX26/AX$6*Mapping!$J$23)/SUM(Mapping!$J$15:$J$23),"")</f>
        <v/>
      </c>
      <c r="BL26" s="64">
        <f>IFERROR((AP26/AP$6*Mapping!$K$15+AQ26/AQ$6*Mapping!$K$16+AR26/AR$6*Mapping!$K$17+AS26/AS$6*Mapping!$K$18+AT26/AT$6*Mapping!$K$19+AU26/AU$6*Mapping!$K$20+AV26/AV$6*Mapping!$K$21+AW26/AW$6*Mapping!$K$22+AX26/AX$6*Mapping!$K$23)/SUM(Mapping!$K$15:$K$23),"")</f>
        <v/>
      </c>
      <c r="BM26" s="64">
        <f>IFERROR((AP26/AP$6*Mapping!$L$15+AQ26/AQ$6*Mapping!$L$16+AR26/AR$6*Mapping!$L$17+AS26/AS$6*Mapping!$L$18+AT26/AT$6*Mapping!$L$19+AU26/AU$6*Mapping!$L$20+AV26/AV$6*Mapping!$L$21+AW26/AW$6*Mapping!$L$22+AX26/AX$6*Mapping!$L$23)/SUM(Mapping!$L$15:$L$23),"")</f>
        <v/>
      </c>
      <c r="BN26" s="64">
        <f>IFERROR((AP26/AP$6*Mapping!$M$15+AQ26/AQ$6*Mapping!$M$16+AR26/AR$6*Mapping!$M$17+AS26/AS$6*Mapping!$M$18+AT26/AT$6*Mapping!$M$19+AU26/AU$6*Mapping!$M$20+AV26/AV$6*Mapping!$M$21+AW26/AW$6*Mapping!$M$22+AX26/AX$6*Mapping!$M$23)/SUM(Mapping!$M$15:$M$23),"")</f>
        <v/>
      </c>
      <c r="BO26" s="64">
        <f>IFERROR((AP26/AP$6*Mapping!$N$15+AQ26/AQ$6*Mapping!$N$16+AR26/AR$6*Mapping!$N$17+AS26/AS$6*Mapping!$N$18+AT26/AT$6*Mapping!$N$19+AU26/AU$6*Mapping!$N$20+AV26/AV$6*Mapping!$N$21+AW26/AW$6*Mapping!$N$22+AX26/AX$6*Mapping!$N$23)/SUM(Mapping!$N$15:$N$23),"")</f>
        <v/>
      </c>
      <c r="BP26" s="64">
        <f>IFERROR((AP26/AP$6*Mapping!$O$15+AQ26/AQ$6*Mapping!$O$16+AR26/AR$6*Mapping!$O$17+AS26/AS$6*Mapping!$O$18+AT26/AT$6*Mapping!$O$19+AU26/AU$6*Mapping!$O$20+AV26/AV$6*Mapping!$O$21+AW26/AW$6*Mapping!$O$22+AX26/AX$6*Mapping!$O$23)/SUM(Mapping!$O$15:$O$23),"")</f>
        <v/>
      </c>
      <c r="BQ26" s="64">
        <f>IFERROR((AP26/AP$6*Mapping!$P$15+AQ26/AQ$6*Mapping!$P$16+AR26/AR$6*Mapping!$P$17+AS26/AS$6*Mapping!$P$18+AT26/AT$6*Mapping!$P$19+AU26/AU$6*Mapping!$P$20+AV26/AV$6*Mapping!$P$21+AW26/AW$6*Mapping!$P$22+AX26/AX$6*Mapping!$P$23)/SUM(Mapping!$P$15:$P$23),"")</f>
        <v/>
      </c>
      <c r="BR26" s="65">
        <f>IF(BA26="","",BA26+N(AS26)/10000)</f>
        <v/>
      </c>
    </row>
    <row r="28">
      <c r="D28" s="13" t="inlineStr">
        <is>
          <t>Average score (marks)</t>
        </is>
      </c>
      <c r="AP28" s="59">
        <f>IFERROR(AVERAGE(AP$7:AP$26),"")</f>
        <v/>
      </c>
      <c r="AQ28" s="59">
        <f>IFERROR(AVERAGE(AQ$7:AQ$26),"")</f>
        <v/>
      </c>
      <c r="AR28" s="59">
        <f>IFERROR(AVERAGE(AR$7:AR$26),"")</f>
        <v/>
      </c>
      <c r="AS28" s="59">
        <f>IFERROR(AVERAGE(AS$7:AS$26),"")</f>
        <v/>
      </c>
      <c r="AT28" s="59">
        <f>IFERROR(AVERAGE(AT$7:AT$26),"")</f>
        <v/>
      </c>
      <c r="AU28" s="59">
        <f>IFERROR(AVERAGE(AU$7:AU$26),"")</f>
        <v/>
      </c>
      <c r="AV28" s="59">
        <f>IFERROR(AVERAGE(AV$7:AV$26),"")</f>
        <v/>
      </c>
      <c r="AW28" s="59">
        <f>IFERROR(AVERAGE(AW$7:AW$26),"")</f>
        <v/>
      </c>
      <c r="AX28" s="59">
        <f>IFERROR(AVERAGE(AX$7:AX$26),"")</f>
        <v/>
      </c>
      <c r="AY28" s="60">
        <f>IFERROR(AVERAGE(AY$7:AY$26),"")</f>
        <v/>
      </c>
      <c r="AZ28" s="60">
        <f>IFERROR(AVERAGE(AZ$7:AZ$26),"")</f>
        <v/>
      </c>
      <c r="BA28" s="61">
        <f>IFERROR(AVERAGE(BA$7:BA$26),"")</f>
        <v/>
      </c>
    </row>
    <row r="29">
      <c r="D29" s="13" t="inlineStr">
        <is>
          <t>Average score (% of max)</t>
        </is>
      </c>
      <c r="AP29" s="66">
        <f>IFERROR(AP28/AP$6,"")</f>
        <v/>
      </c>
      <c r="AQ29" s="66">
        <f>IFERROR(AQ28/AQ$6,"")</f>
        <v/>
      </c>
      <c r="AR29" s="66">
        <f>IFERROR(AR28/AR$6,"")</f>
        <v/>
      </c>
      <c r="AS29" s="66">
        <f>IFERROR(AS28/AS$6,"")</f>
        <v/>
      </c>
      <c r="AT29" s="66">
        <f>IFERROR(AT28/AT$6,"")</f>
        <v/>
      </c>
      <c r="AU29" s="66">
        <f>IFERROR(AU28/AU$6,"")</f>
        <v/>
      </c>
      <c r="AV29" s="66">
        <f>IFERROR(AV28/AV$6,"")</f>
        <v/>
      </c>
      <c r="AW29" s="66">
        <f>IFERROR(AW28/AW$6,"")</f>
        <v/>
      </c>
      <c r="AX29" s="66">
        <f>IFERROR(AX28/AX$6,"")</f>
        <v/>
      </c>
      <c r="BA29" s="15">
        <f>IFERROR(BA28/BA$6,"")</f>
        <v/>
      </c>
    </row>
    <row r="30">
      <c r="D30" s="13" t="inlineStr">
        <is>
          <t>Average attainment (%)</t>
        </is>
      </c>
      <c r="BE30" s="67">
        <f>IFERROR(AVERAGE(BE$7:BE$26),"")</f>
        <v/>
      </c>
      <c r="BF30" s="67">
        <f>IFERROR(AVERAGE(BF$7:BF$26),"")</f>
        <v/>
      </c>
      <c r="BG30" s="67">
        <f>IFERROR(AVERAGE(BG$7:BG$26),"")</f>
        <v/>
      </c>
      <c r="BH30" s="67">
        <f>IFERROR(AVERAGE(BH$7:BH$26),"")</f>
        <v/>
      </c>
      <c r="BI30" s="67">
        <f>IFERROR(AVERAGE(BI$7:BI$26),"")</f>
        <v/>
      </c>
      <c r="BJ30" s="67">
        <f>IFERROR(AVERAGE(BJ$7:BJ$26),"")</f>
        <v/>
      </c>
      <c r="BK30" s="67">
        <f>IFERROR(AVERAGE(BK$7:BK$26),"")</f>
        <v/>
      </c>
      <c r="BL30" s="67">
        <f>IFERROR(AVERAGE(BL$7:BL$26),"")</f>
        <v/>
      </c>
      <c r="BM30" s="67">
        <f>IFERROR(AVERAGE(BM$7:BM$26),"")</f>
        <v/>
      </c>
      <c r="BN30" s="67">
        <f>IFERROR(AVERAGE(BN$7:BN$26),"")</f>
        <v/>
      </c>
      <c r="BO30" s="67">
        <f>IFERROR(AVERAGE(BO$7:BO$26),"")</f>
        <v/>
      </c>
      <c r="BP30" s="67">
        <f>IFERROR(AVERAGE(BP$7:BP$26),"")</f>
        <v/>
      </c>
      <c r="BQ30" s="67">
        <f>IFERROR(AVERAGE(BQ$7:BQ$26),"")</f>
        <v/>
      </c>
    </row>
    <row r="31">
      <c r="D31" s="13" t="inlineStr">
        <is>
          <t>% of teams at/above target</t>
        </is>
      </c>
      <c r="BE31" s="67">
        <f>IFERROR(COUNTIF(BE$7:BE$26,"&gt;="&amp;Mapping!$C$7)/COUNT(BE$7:BE$26),"")</f>
        <v/>
      </c>
      <c r="BF31" s="67">
        <f>IFERROR(COUNTIF(BF$7:BF$26,"&gt;="&amp;Mapping!$C$7)/COUNT(BF$7:BF$26),"")</f>
        <v/>
      </c>
      <c r="BG31" s="67">
        <f>IFERROR(COUNTIF(BG$7:BG$26,"&gt;="&amp;Mapping!$C$7)/COUNT(BG$7:BG$26),"")</f>
        <v/>
      </c>
      <c r="BH31" s="67">
        <f>IFERROR(COUNTIF(BH$7:BH$26,"&gt;="&amp;Mapping!$C$7)/COUNT(BH$7:BH$26),"")</f>
        <v/>
      </c>
      <c r="BI31" s="67">
        <f>IFERROR(COUNTIF(BI$7:BI$26,"&gt;="&amp;Mapping!$C$7)/COUNT(BI$7:BI$26),"")</f>
        <v/>
      </c>
      <c r="BJ31" s="67">
        <f>IFERROR(COUNTIF(BJ$7:BJ$26,"&gt;="&amp;Mapping!$C$7)/COUNT(BJ$7:BJ$26),"")</f>
        <v/>
      </c>
      <c r="BK31" s="67">
        <f>IFERROR(COUNTIF(BK$7:BK$26,"&gt;="&amp;Mapping!$C$7)/COUNT(BK$7:BK$26),"")</f>
        <v/>
      </c>
      <c r="BL31" s="67">
        <f>IFERROR(COUNTIF(BL$7:BL$26,"&gt;="&amp;Mapping!$C$7)/COUNT(BL$7:BL$26),"")</f>
        <v/>
      </c>
      <c r="BM31" s="67">
        <f>IFERROR(COUNTIF(BM$7:BM$26,"&gt;="&amp;Mapping!$C$7)/COUNT(BM$7:BM$26),"")</f>
        <v/>
      </c>
      <c r="BN31" s="67">
        <f>IFERROR(COUNTIF(BN$7:BN$26,"&gt;="&amp;Mapping!$C$7)/COUNT(BN$7:BN$26),"")</f>
        <v/>
      </c>
      <c r="BO31" s="67">
        <f>IFERROR(COUNTIF(BO$7:BO$26,"&gt;="&amp;Mapping!$C$7)/COUNT(BO$7:BO$26),"")</f>
        <v/>
      </c>
      <c r="BP31" s="67">
        <f>IFERROR(COUNTIF(BP$7:BP$26,"&gt;="&amp;Mapping!$C$7)/COUNT(BP$7:BP$26),"")</f>
        <v/>
      </c>
      <c r="BQ31" s="67">
        <f>IFERROR(COUNTIF(BQ$7:BQ$26,"&gt;="&amp;Mapping!$C$7)/COUNT(BQ$7:BQ$26),"")</f>
        <v/>
      </c>
    </row>
    <row r="32">
      <c r="D32" s="13" t="inlineStr">
        <is>
          <t>Attainment level (0–3)</t>
        </is>
      </c>
      <c r="BE32" s="68">
        <f>IF(BE31="","",IF(BE31&gt;=Mapping!$C$8,3,IF(BE31&gt;=Mapping!$C$9,2,IF(BE31&gt;=Mapping!$C$10,1,0))))</f>
        <v/>
      </c>
      <c r="BF32" s="68">
        <f>IF(BF31="","",IF(BF31&gt;=Mapping!$C$8,3,IF(BF31&gt;=Mapping!$C$9,2,IF(BF31&gt;=Mapping!$C$10,1,0))))</f>
        <v/>
      </c>
      <c r="BG32" s="68">
        <f>IF(BG31="","",IF(BG31&gt;=Mapping!$C$8,3,IF(BG31&gt;=Mapping!$C$9,2,IF(BG31&gt;=Mapping!$C$10,1,0))))</f>
        <v/>
      </c>
      <c r="BH32" s="68">
        <f>IF(BH31="","",IF(BH31&gt;=Mapping!$C$8,3,IF(BH31&gt;=Mapping!$C$9,2,IF(BH31&gt;=Mapping!$C$10,1,0))))</f>
        <v/>
      </c>
      <c r="BI32" s="68">
        <f>IF(BI31="","",IF(BI31&gt;=Mapping!$C$8,3,IF(BI31&gt;=Mapping!$C$9,2,IF(BI31&gt;=Mapping!$C$10,1,0))))</f>
        <v/>
      </c>
      <c r="BJ32" s="68">
        <f>IF(BJ31="","",IF(BJ31&gt;=Mapping!$C$8,3,IF(BJ31&gt;=Mapping!$C$9,2,IF(BJ31&gt;=Mapping!$C$10,1,0))))</f>
        <v/>
      </c>
      <c r="BK32" s="68">
        <f>IF(BK31="","",IF(BK31&gt;=Mapping!$C$8,3,IF(BK31&gt;=Mapping!$C$9,2,IF(BK31&gt;=Mapping!$C$10,1,0))))</f>
        <v/>
      </c>
      <c r="BL32" s="68">
        <f>IF(BL31="","",IF(BL31&gt;=Mapping!$C$8,3,IF(BL31&gt;=Mapping!$C$9,2,IF(BL31&gt;=Mapping!$C$10,1,0))))</f>
        <v/>
      </c>
      <c r="BM32" s="68">
        <f>IF(BM31="","",IF(BM31&gt;=Mapping!$C$8,3,IF(BM31&gt;=Mapping!$C$9,2,IF(BM31&gt;=Mapping!$C$10,1,0))))</f>
        <v/>
      </c>
      <c r="BN32" s="68">
        <f>IF(BN31="","",IF(BN31&gt;=Mapping!$C$8,3,IF(BN31&gt;=Mapping!$C$9,2,IF(BN31&gt;=Mapping!$C$10,1,0))))</f>
        <v/>
      </c>
      <c r="BO32" s="68">
        <f>IF(BO31="","",IF(BO31&gt;=Mapping!$C$8,3,IF(BO31&gt;=Mapping!$C$9,2,IF(BO31&gt;=Mapping!$C$10,1,0))))</f>
        <v/>
      </c>
      <c r="BP32" s="68">
        <f>IF(BP31="","",IF(BP31&gt;=Mapping!$C$8,3,IF(BP31&gt;=Mapping!$C$9,2,IF(BP31&gt;=Mapping!$C$10,1,0))))</f>
        <v/>
      </c>
      <c r="BQ32" s="68">
        <f>IF(BQ31="","",IF(BQ31&gt;=Mapping!$C$8,3,IF(BQ31&gt;=Mapping!$C$9,2,IF(BQ31&gt;=Mapping!$C$10,1,0))))</f>
        <v/>
      </c>
    </row>
    <row r="33">
      <c r="D33" s="13" t="inlineStr">
        <is>
          <t>Teams evaluated</t>
        </is>
      </c>
      <c r="E33" s="20">
        <f>COUNT(BA$7:BA$26)</f>
        <v/>
      </c>
    </row>
    <row r="34">
      <c r="D34" s="69" t="inlineStr">
        <is>
          <t>SDG attainment: average contribution strength (0–3)</t>
        </is>
      </c>
      <c r="E34" s="60">
        <f>IFERROR((SUM(AY$7:AY$26)+SUM(AZ$7:AZ$26))/(COUNT(AY$7:AY$26)+COUNT(AZ$7:AZ$26)),"")</f>
        <v/>
      </c>
    </row>
    <row r="35">
      <c r="D35" s="69" t="inlineStr">
        <is>
          <t>SDG: % of rated team–SDG pairs at/above target strength</t>
        </is>
      </c>
      <c r="E35" s="70">
        <f>IFERROR((COUNTIF(AY$7:AY$26,"&gt;="&amp;Mapping!$C$12)+COUNTIF(AZ$7:AZ$26,"&gt;="&amp;Mapping!$C$12))/(COUNT(AY$7:AY$26)+COUNT(AZ$7:AZ$26)),"")</f>
        <v/>
      </c>
    </row>
    <row r="36">
      <c r="D36" s="69" t="inlineStr">
        <is>
          <t>SDG: team–SDG pairs rated</t>
        </is>
      </c>
      <c r="E36" s="71">
        <f>COUNT(AY$7:AY$26)+COUNT(AZ$7:AZ$26)</f>
        <v/>
      </c>
    </row>
    <row r="37">
      <c r="D37" s="69" t="inlineStr">
        <is>
          <t>SDG: team–SDG pairs claimed</t>
        </is>
      </c>
      <c r="E37" s="71">
        <f>COUNTIF($F$7:$F$26,"?*")+SUMPRODUCT(--($G$7:$G$26&lt;&gt;""),--($G$7:$G$26&lt;&gt;$F$7:$F$26))</f>
        <v/>
      </c>
    </row>
    <row r="39">
      <c r="D39" s="16" t="inlineStr">
        <is>
          <t>SDG goal-wise attainment (from contribution-strength ratings)</t>
        </is>
      </c>
    </row>
    <row r="40" ht="45" customHeight="1">
      <c r="D40" s="17" t="inlineStr">
        <is>
          <t>Sustainable Development Goal</t>
        </is>
      </c>
      <c r="E40" s="17" t="inlineStr">
        <is>
          <t>Solutions (teams claiming the goal)</t>
        </is>
      </c>
      <c r="F40" s="17" t="inlineStr">
        <is>
          <t>Solutions rated</t>
        </is>
      </c>
      <c r="G40" s="17" t="inlineStr">
        <is>
          <t>Avg contribution strength (0–3)</t>
        </is>
      </c>
      <c r="H40" s="17" t="inlineStr">
        <is>
          <t>% rated at/above target strength</t>
        </is>
      </c>
    </row>
    <row r="41">
      <c r="D41" s="5">
        <f>'SDG List'!A2</f>
        <v/>
      </c>
      <c r="E41" s="11">
        <f>COUNTIF($F$7:$F$26,$D41)+COUNTIF($G$7:$G$26,$D41)-COUNTIFS($F$7:$F$26,$D41,$G$7:$G$26,$D41)</f>
        <v/>
      </c>
      <c r="F41" s="11">
        <f>COUNTIFS($F$7:$F$26,$D41,AY$7:AY$26,"&gt;=0")+COUNTIFS($G$7:$G$26,$D41,AZ$7:AZ$26,"&gt;=0")</f>
        <v/>
      </c>
      <c r="G41" s="18">
        <f>IFERROR((SUMIF($F$7:$F$26,$D41,AY$7:AY$26)+SUMIF($G$7:$G$26,$D41,AZ$7:AZ$26))/F41,"")</f>
        <v/>
      </c>
      <c r="H41" s="12">
        <f>IFERROR((COUNTIFS($F$7:$F$26,$D41,AY$7:AY$26,"&gt;="&amp;Mapping!$C$12)+COUNTIFS($G$7:$G$26,$D41,AZ$7:AZ$26,"&gt;="&amp;Mapping!$C$12))/F41,"")</f>
        <v/>
      </c>
    </row>
    <row r="42">
      <c r="D42" s="5">
        <f>'SDG List'!A3</f>
        <v/>
      </c>
      <c r="E42" s="11">
        <f>COUNTIF($F$7:$F$26,$D42)+COUNTIF($G$7:$G$26,$D42)-COUNTIFS($F$7:$F$26,$D42,$G$7:$G$26,$D42)</f>
        <v/>
      </c>
      <c r="F42" s="11">
        <f>COUNTIFS($F$7:$F$26,$D42,AY$7:AY$26,"&gt;=0")+COUNTIFS($G$7:$G$26,$D42,AZ$7:AZ$26,"&gt;=0")</f>
        <v/>
      </c>
      <c r="G42" s="18">
        <f>IFERROR((SUMIF($F$7:$F$26,$D42,AY$7:AY$26)+SUMIF($G$7:$G$26,$D42,AZ$7:AZ$26))/F42,"")</f>
        <v/>
      </c>
      <c r="H42" s="12">
        <f>IFERROR((COUNTIFS($F$7:$F$26,$D42,AY$7:AY$26,"&gt;="&amp;Mapping!$C$12)+COUNTIFS($G$7:$G$26,$D42,AZ$7:AZ$26,"&gt;="&amp;Mapping!$C$12))/F42,"")</f>
        <v/>
      </c>
    </row>
    <row r="43">
      <c r="D43" s="5">
        <f>'SDG List'!A4</f>
        <v/>
      </c>
      <c r="E43" s="11">
        <f>COUNTIF($F$7:$F$26,$D43)+COUNTIF($G$7:$G$26,$D43)-COUNTIFS($F$7:$F$26,$D43,$G$7:$G$26,$D43)</f>
        <v/>
      </c>
      <c r="F43" s="11">
        <f>COUNTIFS($F$7:$F$26,$D43,AY$7:AY$26,"&gt;=0")+COUNTIFS($G$7:$G$26,$D43,AZ$7:AZ$26,"&gt;=0")</f>
        <v/>
      </c>
      <c r="G43" s="18">
        <f>IFERROR((SUMIF($F$7:$F$26,$D43,AY$7:AY$26)+SUMIF($G$7:$G$26,$D43,AZ$7:AZ$26))/F43,"")</f>
        <v/>
      </c>
      <c r="H43" s="12">
        <f>IFERROR((COUNTIFS($F$7:$F$26,$D43,AY$7:AY$26,"&gt;="&amp;Mapping!$C$12)+COUNTIFS($G$7:$G$26,$D43,AZ$7:AZ$26,"&gt;="&amp;Mapping!$C$12))/F43,"")</f>
        <v/>
      </c>
    </row>
    <row r="44">
      <c r="D44" s="5">
        <f>'SDG List'!A5</f>
        <v/>
      </c>
      <c r="E44" s="11">
        <f>COUNTIF($F$7:$F$26,$D44)+COUNTIF($G$7:$G$26,$D44)-COUNTIFS($F$7:$F$26,$D44,$G$7:$G$26,$D44)</f>
        <v/>
      </c>
      <c r="F44" s="11">
        <f>COUNTIFS($F$7:$F$26,$D44,AY$7:AY$26,"&gt;=0")+COUNTIFS($G$7:$G$26,$D44,AZ$7:AZ$26,"&gt;=0")</f>
        <v/>
      </c>
      <c r="G44" s="18">
        <f>IFERROR((SUMIF($F$7:$F$26,$D44,AY$7:AY$26)+SUMIF($G$7:$G$26,$D44,AZ$7:AZ$26))/F44,"")</f>
        <v/>
      </c>
      <c r="H44" s="12">
        <f>IFERROR((COUNTIFS($F$7:$F$26,$D44,AY$7:AY$26,"&gt;="&amp;Mapping!$C$12)+COUNTIFS($G$7:$G$26,$D44,AZ$7:AZ$26,"&gt;="&amp;Mapping!$C$12))/F44,"")</f>
        <v/>
      </c>
    </row>
    <row r="45">
      <c r="D45" s="5">
        <f>'SDG List'!A6</f>
        <v/>
      </c>
      <c r="E45" s="11">
        <f>COUNTIF($F$7:$F$26,$D45)+COUNTIF($G$7:$G$26,$D45)-COUNTIFS($F$7:$F$26,$D45,$G$7:$G$26,$D45)</f>
        <v/>
      </c>
      <c r="F45" s="11">
        <f>COUNTIFS($F$7:$F$26,$D45,AY$7:AY$26,"&gt;=0")+COUNTIFS($G$7:$G$26,$D45,AZ$7:AZ$26,"&gt;=0")</f>
        <v/>
      </c>
      <c r="G45" s="18">
        <f>IFERROR((SUMIF($F$7:$F$26,$D45,AY$7:AY$26)+SUMIF($G$7:$G$26,$D45,AZ$7:AZ$26))/F45,"")</f>
        <v/>
      </c>
      <c r="H45" s="12">
        <f>IFERROR((COUNTIFS($F$7:$F$26,$D45,AY$7:AY$26,"&gt;="&amp;Mapping!$C$12)+COUNTIFS($G$7:$G$26,$D45,AZ$7:AZ$26,"&gt;="&amp;Mapping!$C$12))/F45,"")</f>
        <v/>
      </c>
    </row>
    <row r="46">
      <c r="D46" s="5">
        <f>'SDG List'!A7</f>
        <v/>
      </c>
      <c r="E46" s="11">
        <f>COUNTIF($F$7:$F$26,$D46)+COUNTIF($G$7:$G$26,$D46)-COUNTIFS($F$7:$F$26,$D46,$G$7:$G$26,$D46)</f>
        <v/>
      </c>
      <c r="F46" s="11">
        <f>COUNTIFS($F$7:$F$26,$D46,AY$7:AY$26,"&gt;=0")+COUNTIFS($G$7:$G$26,$D46,AZ$7:AZ$26,"&gt;=0")</f>
        <v/>
      </c>
      <c r="G46" s="18">
        <f>IFERROR((SUMIF($F$7:$F$26,$D46,AY$7:AY$26)+SUMIF($G$7:$G$26,$D46,AZ$7:AZ$26))/F46,"")</f>
        <v/>
      </c>
      <c r="H46" s="12">
        <f>IFERROR((COUNTIFS($F$7:$F$26,$D46,AY$7:AY$26,"&gt;="&amp;Mapping!$C$12)+COUNTIFS($G$7:$G$26,$D46,AZ$7:AZ$26,"&gt;="&amp;Mapping!$C$12))/F46,"")</f>
        <v/>
      </c>
    </row>
    <row r="47">
      <c r="D47" s="5">
        <f>'SDG List'!A8</f>
        <v/>
      </c>
      <c r="E47" s="11">
        <f>COUNTIF($F$7:$F$26,$D47)+COUNTIF($G$7:$G$26,$D47)-COUNTIFS($F$7:$F$26,$D47,$G$7:$G$26,$D47)</f>
        <v/>
      </c>
      <c r="F47" s="11">
        <f>COUNTIFS($F$7:$F$26,$D47,AY$7:AY$26,"&gt;=0")+COUNTIFS($G$7:$G$26,$D47,AZ$7:AZ$26,"&gt;=0")</f>
        <v/>
      </c>
      <c r="G47" s="18">
        <f>IFERROR((SUMIF($F$7:$F$26,$D47,AY$7:AY$26)+SUMIF($G$7:$G$26,$D47,AZ$7:AZ$26))/F47,"")</f>
        <v/>
      </c>
      <c r="H47" s="12">
        <f>IFERROR((COUNTIFS($F$7:$F$26,$D47,AY$7:AY$26,"&gt;="&amp;Mapping!$C$12)+COUNTIFS($G$7:$G$26,$D47,AZ$7:AZ$26,"&gt;="&amp;Mapping!$C$12))/F47,"")</f>
        <v/>
      </c>
    </row>
    <row r="48">
      <c r="D48" s="5">
        <f>'SDG List'!A9</f>
        <v/>
      </c>
      <c r="E48" s="11">
        <f>COUNTIF($F$7:$F$26,$D48)+COUNTIF($G$7:$G$26,$D48)-COUNTIFS($F$7:$F$26,$D48,$G$7:$G$26,$D48)</f>
        <v/>
      </c>
      <c r="F48" s="11">
        <f>COUNTIFS($F$7:$F$26,$D48,AY$7:AY$26,"&gt;=0")+COUNTIFS($G$7:$G$26,$D48,AZ$7:AZ$26,"&gt;=0")</f>
        <v/>
      </c>
      <c r="G48" s="18">
        <f>IFERROR((SUMIF($F$7:$F$26,$D48,AY$7:AY$26)+SUMIF($G$7:$G$26,$D48,AZ$7:AZ$26))/F48,"")</f>
        <v/>
      </c>
      <c r="H48" s="12">
        <f>IFERROR((COUNTIFS($F$7:$F$26,$D48,AY$7:AY$26,"&gt;="&amp;Mapping!$C$12)+COUNTIFS($G$7:$G$26,$D48,AZ$7:AZ$26,"&gt;="&amp;Mapping!$C$12))/F48,"")</f>
        <v/>
      </c>
    </row>
    <row r="49">
      <c r="D49" s="5">
        <f>'SDG List'!A10</f>
        <v/>
      </c>
      <c r="E49" s="11">
        <f>COUNTIF($F$7:$F$26,$D49)+COUNTIF($G$7:$G$26,$D49)-COUNTIFS($F$7:$F$26,$D49,$G$7:$G$26,$D49)</f>
        <v/>
      </c>
      <c r="F49" s="11">
        <f>COUNTIFS($F$7:$F$26,$D49,AY$7:AY$26,"&gt;=0")+COUNTIFS($G$7:$G$26,$D49,AZ$7:AZ$26,"&gt;=0")</f>
        <v/>
      </c>
      <c r="G49" s="18">
        <f>IFERROR((SUMIF($F$7:$F$26,$D49,AY$7:AY$26)+SUMIF($G$7:$G$26,$D49,AZ$7:AZ$26))/F49,"")</f>
        <v/>
      </c>
      <c r="H49" s="12">
        <f>IFERROR((COUNTIFS($F$7:$F$26,$D49,AY$7:AY$26,"&gt;="&amp;Mapping!$C$12)+COUNTIFS($G$7:$G$26,$D49,AZ$7:AZ$26,"&gt;="&amp;Mapping!$C$12))/F49,"")</f>
        <v/>
      </c>
    </row>
    <row r="50">
      <c r="D50" s="5">
        <f>'SDG List'!A11</f>
        <v/>
      </c>
      <c r="E50" s="11">
        <f>COUNTIF($F$7:$F$26,$D50)+COUNTIF($G$7:$G$26,$D50)-COUNTIFS($F$7:$F$26,$D50,$G$7:$G$26,$D50)</f>
        <v/>
      </c>
      <c r="F50" s="11">
        <f>COUNTIFS($F$7:$F$26,$D50,AY$7:AY$26,"&gt;=0")+COUNTIFS($G$7:$G$26,$D50,AZ$7:AZ$26,"&gt;=0")</f>
        <v/>
      </c>
      <c r="G50" s="18">
        <f>IFERROR((SUMIF($F$7:$F$26,$D50,AY$7:AY$26)+SUMIF($G$7:$G$26,$D50,AZ$7:AZ$26))/F50,"")</f>
        <v/>
      </c>
      <c r="H50" s="12">
        <f>IFERROR((COUNTIFS($F$7:$F$26,$D50,AY$7:AY$26,"&gt;="&amp;Mapping!$C$12)+COUNTIFS($G$7:$G$26,$D50,AZ$7:AZ$26,"&gt;="&amp;Mapping!$C$12))/F50,"")</f>
        <v/>
      </c>
    </row>
    <row r="51">
      <c r="D51" s="5">
        <f>'SDG List'!A12</f>
        <v/>
      </c>
      <c r="E51" s="11">
        <f>COUNTIF($F$7:$F$26,$D51)+COUNTIF($G$7:$G$26,$D51)-COUNTIFS($F$7:$F$26,$D51,$G$7:$G$26,$D51)</f>
        <v/>
      </c>
      <c r="F51" s="11">
        <f>COUNTIFS($F$7:$F$26,$D51,AY$7:AY$26,"&gt;=0")+COUNTIFS($G$7:$G$26,$D51,AZ$7:AZ$26,"&gt;=0")</f>
        <v/>
      </c>
      <c r="G51" s="18">
        <f>IFERROR((SUMIF($F$7:$F$26,$D51,AY$7:AY$26)+SUMIF($G$7:$G$26,$D51,AZ$7:AZ$26))/F51,"")</f>
        <v/>
      </c>
      <c r="H51" s="12">
        <f>IFERROR((COUNTIFS($F$7:$F$26,$D51,AY$7:AY$26,"&gt;="&amp;Mapping!$C$12)+COUNTIFS($G$7:$G$26,$D51,AZ$7:AZ$26,"&gt;="&amp;Mapping!$C$12))/F51,"")</f>
        <v/>
      </c>
    </row>
    <row r="52">
      <c r="D52" s="5">
        <f>'SDG List'!A13</f>
        <v/>
      </c>
      <c r="E52" s="11">
        <f>COUNTIF($F$7:$F$26,$D52)+COUNTIF($G$7:$G$26,$D52)-COUNTIFS($F$7:$F$26,$D52,$G$7:$G$26,$D52)</f>
        <v/>
      </c>
      <c r="F52" s="11">
        <f>COUNTIFS($F$7:$F$26,$D52,AY$7:AY$26,"&gt;=0")+COUNTIFS($G$7:$G$26,$D52,AZ$7:AZ$26,"&gt;=0")</f>
        <v/>
      </c>
      <c r="G52" s="18">
        <f>IFERROR((SUMIF($F$7:$F$26,$D52,AY$7:AY$26)+SUMIF($G$7:$G$26,$D52,AZ$7:AZ$26))/F52,"")</f>
        <v/>
      </c>
      <c r="H52" s="12">
        <f>IFERROR((COUNTIFS($F$7:$F$26,$D52,AY$7:AY$26,"&gt;="&amp;Mapping!$C$12)+COUNTIFS($G$7:$G$26,$D52,AZ$7:AZ$26,"&gt;="&amp;Mapping!$C$12))/F52,"")</f>
        <v/>
      </c>
    </row>
    <row r="53">
      <c r="D53" s="5">
        <f>'SDG List'!A14</f>
        <v/>
      </c>
      <c r="E53" s="11">
        <f>COUNTIF($F$7:$F$26,$D53)+COUNTIF($G$7:$G$26,$D53)-COUNTIFS($F$7:$F$26,$D53,$G$7:$G$26,$D53)</f>
        <v/>
      </c>
      <c r="F53" s="11">
        <f>COUNTIFS($F$7:$F$26,$D53,AY$7:AY$26,"&gt;=0")+COUNTIFS($G$7:$G$26,$D53,AZ$7:AZ$26,"&gt;=0")</f>
        <v/>
      </c>
      <c r="G53" s="18">
        <f>IFERROR((SUMIF($F$7:$F$26,$D53,AY$7:AY$26)+SUMIF($G$7:$G$26,$D53,AZ$7:AZ$26))/F53,"")</f>
        <v/>
      </c>
      <c r="H53" s="12">
        <f>IFERROR((COUNTIFS($F$7:$F$26,$D53,AY$7:AY$26,"&gt;="&amp;Mapping!$C$12)+COUNTIFS($G$7:$G$26,$D53,AZ$7:AZ$26,"&gt;="&amp;Mapping!$C$12))/F53,"")</f>
        <v/>
      </c>
    </row>
    <row r="54">
      <c r="D54" s="5">
        <f>'SDG List'!A15</f>
        <v/>
      </c>
      <c r="E54" s="11">
        <f>COUNTIF($F$7:$F$26,$D54)+COUNTIF($G$7:$G$26,$D54)-COUNTIFS($F$7:$F$26,$D54,$G$7:$G$26,$D54)</f>
        <v/>
      </c>
      <c r="F54" s="11">
        <f>COUNTIFS($F$7:$F$26,$D54,AY$7:AY$26,"&gt;=0")+COUNTIFS($G$7:$G$26,$D54,AZ$7:AZ$26,"&gt;=0")</f>
        <v/>
      </c>
      <c r="G54" s="18">
        <f>IFERROR((SUMIF($F$7:$F$26,$D54,AY$7:AY$26)+SUMIF($G$7:$G$26,$D54,AZ$7:AZ$26))/F54,"")</f>
        <v/>
      </c>
      <c r="H54" s="12">
        <f>IFERROR((COUNTIFS($F$7:$F$26,$D54,AY$7:AY$26,"&gt;="&amp;Mapping!$C$12)+COUNTIFS($G$7:$G$26,$D54,AZ$7:AZ$26,"&gt;="&amp;Mapping!$C$12))/F54,"")</f>
        <v/>
      </c>
    </row>
    <row r="55">
      <c r="D55" s="5">
        <f>'SDG List'!A16</f>
        <v/>
      </c>
      <c r="E55" s="11">
        <f>COUNTIF($F$7:$F$26,$D55)+COUNTIF($G$7:$G$26,$D55)-COUNTIFS($F$7:$F$26,$D55,$G$7:$G$26,$D55)</f>
        <v/>
      </c>
      <c r="F55" s="11">
        <f>COUNTIFS($F$7:$F$26,$D55,AY$7:AY$26,"&gt;=0")+COUNTIFS($G$7:$G$26,$D55,AZ$7:AZ$26,"&gt;=0")</f>
        <v/>
      </c>
      <c r="G55" s="18">
        <f>IFERROR((SUMIF($F$7:$F$26,$D55,AY$7:AY$26)+SUMIF($G$7:$G$26,$D55,AZ$7:AZ$26))/F55,"")</f>
        <v/>
      </c>
      <c r="H55" s="12">
        <f>IFERROR((COUNTIFS($F$7:$F$26,$D55,AY$7:AY$26,"&gt;="&amp;Mapping!$C$12)+COUNTIFS($G$7:$G$26,$D55,AZ$7:AZ$26,"&gt;="&amp;Mapping!$C$12))/F55,"")</f>
        <v/>
      </c>
    </row>
    <row r="56">
      <c r="D56" s="5">
        <f>'SDG List'!A17</f>
        <v/>
      </c>
      <c r="E56" s="11">
        <f>COUNTIF($F$7:$F$26,$D56)+COUNTIF($G$7:$G$26,$D56)-COUNTIFS($F$7:$F$26,$D56,$G$7:$G$26,$D56)</f>
        <v/>
      </c>
      <c r="F56" s="11">
        <f>COUNTIFS($F$7:$F$26,$D56,AY$7:AY$26,"&gt;=0")+COUNTIFS($G$7:$G$26,$D56,AZ$7:AZ$26,"&gt;=0")</f>
        <v/>
      </c>
      <c r="G56" s="18">
        <f>IFERROR((SUMIF($F$7:$F$26,$D56,AY$7:AY$26)+SUMIF($G$7:$G$26,$D56,AZ$7:AZ$26))/F56,"")</f>
        <v/>
      </c>
      <c r="H56" s="12">
        <f>IFERROR((COUNTIFS($F$7:$F$26,$D56,AY$7:AY$26,"&gt;="&amp;Mapping!$C$12)+COUNTIFS($G$7:$G$26,$D56,AZ$7:AZ$26,"&gt;="&amp;Mapping!$C$12))/F56,"")</f>
        <v/>
      </c>
    </row>
    <row r="57">
      <c r="D57" s="5">
        <f>'SDG List'!A18</f>
        <v/>
      </c>
      <c r="E57" s="11">
        <f>COUNTIF($F$7:$F$26,$D57)+COUNTIF($G$7:$G$26,$D57)-COUNTIFS($F$7:$F$26,$D57,$G$7:$G$26,$D57)</f>
        <v/>
      </c>
      <c r="F57" s="11">
        <f>COUNTIFS($F$7:$F$26,$D57,AY$7:AY$26,"&gt;=0")+COUNTIFS($G$7:$G$26,$D57,AZ$7:AZ$26,"&gt;=0")</f>
        <v/>
      </c>
      <c r="G57" s="18">
        <f>IFERROR((SUMIF($F$7:$F$26,$D57,AY$7:AY$26)+SUMIF($G$7:$G$26,$D57,AZ$7:AZ$26))/F57,"")</f>
        <v/>
      </c>
      <c r="H57" s="12">
        <f>IFERROR((COUNTIFS($F$7:$F$26,$D57,AY$7:AY$26,"&gt;="&amp;Mapping!$C$12)+COUNTIFS($G$7:$G$26,$D57,AZ$7:AZ$26,"&gt;="&amp;Mapping!$C$12))/F57,"")</f>
        <v/>
      </c>
    </row>
  </sheetData>
  <sheetProtection selectLockedCells="0" selectUnlockedCells="0" sheet="1" objects="0" insertRows="1" insertHyperlinks="1" autoFilter="1" scenarios="0" formatColumns="0" deleteColumns="1" insertColumns="1" pivotTables="1" deleteRows="1" formatCells="1" formatRows="0" sort="1"/>
  <mergeCells count="29">
    <mergeCell ref="E5:E6"/>
    <mergeCell ref="AP2:BB2"/>
    <mergeCell ref="AE4:AO4"/>
    <mergeCell ref="BA4:BD4"/>
    <mergeCell ref="F5:F6"/>
    <mergeCell ref="B2:C2"/>
    <mergeCell ref="AE3:AF3"/>
    <mergeCell ref="T4:AD4"/>
    <mergeCell ref="AY4:AZ4"/>
    <mergeCell ref="BP4:BQ4"/>
    <mergeCell ref="BE4:BO4"/>
    <mergeCell ref="A1:AO1"/>
    <mergeCell ref="AG3:AO3"/>
    <mergeCell ref="I3:J3"/>
    <mergeCell ref="A5:A6"/>
    <mergeCell ref="G5:G6"/>
    <mergeCell ref="AP4:AX4"/>
    <mergeCell ref="V3:AD3"/>
    <mergeCell ref="K3:S3"/>
    <mergeCell ref="B5:B6"/>
    <mergeCell ref="D5:D6"/>
    <mergeCell ref="A4:H4"/>
    <mergeCell ref="D39:H39"/>
    <mergeCell ref="H5:H6"/>
    <mergeCell ref="I4:S4"/>
    <mergeCell ref="AP1:BQ1"/>
    <mergeCell ref="T3:U3"/>
    <mergeCell ref="E2:H2"/>
    <mergeCell ref="C5:C6"/>
  </mergeCells>
  <conditionalFormatting sqref="BD7:BD26">
    <cfRule type="cellIs" priority="1" operator="equal" dxfId="4">
      <formula>"Shortlisted"</formula>
    </cfRule>
  </conditionalFormatting>
  <conditionalFormatting sqref="S7:S26">
    <cfRule type="expression" priority="2" dxfId="5">
      <formula>OR($G7="",$G7=$F7)</formula>
    </cfRule>
  </conditionalFormatting>
  <conditionalFormatting sqref="AD7:AD26">
    <cfRule type="expression" priority="3" dxfId="5">
      <formula>OR($G7="",$G7=$F7)</formula>
    </cfRule>
  </conditionalFormatting>
  <conditionalFormatting sqref="AO7:AO26">
    <cfRule type="expression" priority="4" dxfId="5">
      <formula>OR($G7="",$G7=$F7)</formula>
    </cfRule>
  </conditionalFormatting>
  <conditionalFormatting sqref="BE32:BQ32">
    <cfRule type="expression" priority="5" dxfId="0">
      <formula>AND(ISNUMBER(BE32),BE32=3)</formula>
    </cfRule>
    <cfRule type="expression" priority="6" dxfId="1">
      <formula>AND(ISNUMBER(BE32),BE32=2)</formula>
    </cfRule>
    <cfRule type="expression" priority="7" dxfId="2">
      <formula>AND(ISNUMBER(BE32),BE32=1)</formula>
    </cfRule>
    <cfRule type="expression" priority="8" dxfId="3">
      <formula>AND(ISNUMBER(BE32),BE32=0)</formula>
    </cfRule>
  </conditionalFormatting>
  <dataValidations count="31">
    <dataValidation sqref="I7:I26" showDropDown="0" showInputMessage="0" showErrorMessage="1" allowBlank="0" errorTitle="Score out of range" error="Enter a score between 0 and the criterion's Max Marks (row 6)." type="decimal" operator="between">
      <formula1>0</formula1>
      <formula2>$I$6</formula2>
    </dataValidation>
    <dataValidation sqref="J7:J26" showDropDown="0" showInputMessage="0" showErrorMessage="1" allowBlank="0" errorTitle="Score out of range" error="Enter a score between 0 and the criterion's Max Marks (row 6)." type="decimal" operator="between">
      <formula1>0</formula1>
      <formula2>$J$6</formula2>
    </dataValidation>
    <dataValidation sqref="K7:K26" showDropDown="0" showInputMessage="0" showErrorMessage="1" allowBlank="0" errorTitle="Score out of range" error="Enter a score between 0 and the criterion's Max Marks (row 6)." type="decimal" operator="between">
      <formula1>0</formula1>
      <formula2>$K$6</formula2>
    </dataValidation>
    <dataValidation sqref="L7:L26" showDropDown="0" showInputMessage="0" showErrorMessage="1" allowBlank="0" errorTitle="Score out of range" error="Enter a score between 0 and the criterion's Max Marks (row 6)." type="decimal" operator="between">
      <formula1>0</formula1>
      <formula2>$L$6</formula2>
    </dataValidation>
    <dataValidation sqref="M7:M26" showDropDown="0" showInputMessage="0" showErrorMessage="1" allowBlank="0" errorTitle="Score out of range" error="Enter a score between 0 and the criterion's Max Marks (row 6)." type="decimal" operator="between">
      <formula1>0</formula1>
      <formula2>$M$6</formula2>
    </dataValidation>
    <dataValidation sqref="N7:N26" showDropDown="0" showInputMessage="0" showErrorMessage="1" allowBlank="0" errorTitle="Score out of range" error="Enter a score between 0 and the criterion's Max Marks (row 6)." type="decimal" operator="between">
      <formula1>0</formula1>
      <formula2>$N$6</formula2>
    </dataValidation>
    <dataValidation sqref="O7:O26" showDropDown="0" showInputMessage="0" showErrorMessage="1" allowBlank="0" errorTitle="Score out of range" error="Enter a score between 0 and the criterion's Max Marks (row 6)." type="decimal" operator="between">
      <formula1>0</formula1>
      <formula2>$O$6</formula2>
    </dataValidation>
    <dataValidation sqref="P7:P26" showDropDown="0" showInputMessage="0" showErrorMessage="1" allowBlank="0" errorTitle="Score out of range" error="Enter a score between 0 and the criterion's Max Marks (row 6)." type="decimal" operator="between">
      <formula1>0</formula1>
      <formula2>$P$6</formula2>
    </dataValidation>
    <dataValidation sqref="Q7:Q26" showDropDown="0" showInputMessage="0" showErrorMessage="1" allowBlank="0" errorTitle="Score out of range" error="Enter a score between 0 and the criterion's Max Marks (row 6)." type="decimal" operator="between">
      <formula1>0</formula1>
      <formula2>$Q$6</formula2>
    </dataValidation>
    <dataValidation sqref="R7:S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T7:T26" showDropDown="0" showInputMessage="0" showErrorMessage="1" allowBlank="0" errorTitle="Score out of range" error="Enter a score between 0 and the criterion's Max Marks (row 6)." type="decimal" operator="between">
      <formula1>0</formula1>
      <formula2>$T$6</formula2>
    </dataValidation>
    <dataValidation sqref="U7:U26" showDropDown="0" showInputMessage="0" showErrorMessage="1" allowBlank="0" errorTitle="Score out of range" error="Enter a score between 0 and the criterion's Max Marks (row 6)." type="decimal" operator="between">
      <formula1>0</formula1>
      <formula2>$U$6</formula2>
    </dataValidation>
    <dataValidation sqref="V7:V26" showDropDown="0" showInputMessage="0" showErrorMessage="1" allowBlank="0" errorTitle="Score out of range" error="Enter a score between 0 and the criterion's Max Marks (row 6)." type="decimal" operator="between">
      <formula1>0</formula1>
      <formula2>$V$6</formula2>
    </dataValidation>
    <dataValidation sqref="W7:W26" showDropDown="0" showInputMessage="0" showErrorMessage="1" allowBlank="0" errorTitle="Score out of range" error="Enter a score between 0 and the criterion's Max Marks (row 6)." type="decimal" operator="between">
      <formula1>0</formula1>
      <formula2>$W$6</formula2>
    </dataValidation>
    <dataValidation sqref="X7:X26" showDropDown="0" showInputMessage="0" showErrorMessage="1" allowBlank="0" errorTitle="Score out of range" error="Enter a score between 0 and the criterion's Max Marks (row 6)." type="decimal" operator="between">
      <formula1>0</formula1>
      <formula2>$X$6</formula2>
    </dataValidation>
    <dataValidation sqref="Y7:Y26" showDropDown="0" showInputMessage="0" showErrorMessage="1" allowBlank="0" errorTitle="Score out of range" error="Enter a score between 0 and the criterion's Max Marks (row 6)." type="decimal" operator="between">
      <formula1>0</formula1>
      <formula2>$Y$6</formula2>
    </dataValidation>
    <dataValidation sqref="Z7:Z26" showDropDown="0" showInputMessage="0" showErrorMessage="1" allowBlank="0" errorTitle="Score out of range" error="Enter a score between 0 and the criterion's Max Marks (row 6)." type="decimal" operator="between">
      <formula1>0</formula1>
      <formula2>$Z$6</formula2>
    </dataValidation>
    <dataValidation sqref="AA7:AA26" showDropDown="0" showInputMessage="0" showErrorMessage="1" allowBlank="0" errorTitle="Score out of range" error="Enter a score between 0 and the criterion's Max Marks (row 6)." type="decimal" operator="between">
      <formula1>0</formula1>
      <formula2>$AA$6</formula2>
    </dataValidation>
    <dataValidation sqref="AB7:AB26" showDropDown="0" showInputMessage="0" showErrorMessage="1" allowBlank="0" errorTitle="Score out of range" error="Enter a score between 0 and the criterion's Max Marks (row 6)." type="decimal" operator="between">
      <formula1>0</formula1>
      <formula2>$AB$6</formula2>
    </dataValidation>
    <dataValidation sqref="AC7:AD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AE7:AE26" showDropDown="0" showInputMessage="0" showErrorMessage="1" allowBlank="0" errorTitle="Score out of range" error="Enter a score between 0 and the criterion's Max Marks (row 6)." type="decimal" operator="between">
      <formula1>0</formula1>
      <formula2>$AE$6</formula2>
    </dataValidation>
    <dataValidation sqref="AF7:AF26" showDropDown="0" showInputMessage="0" showErrorMessage="1" allowBlank="0" errorTitle="Score out of range" error="Enter a score between 0 and the criterion's Max Marks (row 6)." type="decimal" operator="between">
      <formula1>0</formula1>
      <formula2>$AF$6</formula2>
    </dataValidation>
    <dataValidation sqref="AG7:AG26" showDropDown="0" showInputMessage="0" showErrorMessage="1" allowBlank="0" errorTitle="Score out of range" error="Enter a score between 0 and the criterion's Max Marks (row 6)." type="decimal" operator="between">
      <formula1>0</formula1>
      <formula2>$AG$6</formula2>
    </dataValidation>
    <dataValidation sqref="AH7:AH26" showDropDown="0" showInputMessage="0" showErrorMessage="1" allowBlank="0" errorTitle="Score out of range" error="Enter a score between 0 and the criterion's Max Marks (row 6)." type="decimal" operator="between">
      <formula1>0</formula1>
      <formula2>$AH$6</formula2>
    </dataValidation>
    <dataValidation sqref="AI7:AI26" showDropDown="0" showInputMessage="0" showErrorMessage="1" allowBlank="0" errorTitle="Score out of range" error="Enter a score between 0 and the criterion's Max Marks (row 6)." type="decimal" operator="between">
      <formula1>0</formula1>
      <formula2>$AI$6</formula2>
    </dataValidation>
    <dataValidation sqref="AJ7:AJ26" showDropDown="0" showInputMessage="0" showErrorMessage="1" allowBlank="0" errorTitle="Score out of range" error="Enter a score between 0 and the criterion's Max Marks (row 6)." type="decimal" operator="between">
      <formula1>0</formula1>
      <formula2>$AJ$6</formula2>
    </dataValidation>
    <dataValidation sqref="AK7:AK26" showDropDown="0" showInputMessage="0" showErrorMessage="1" allowBlank="0" errorTitle="Score out of range" error="Enter a score between 0 and the criterion's Max Marks (row 6)." type="decimal" operator="between">
      <formula1>0</formula1>
      <formula2>$AK$6</formula2>
    </dataValidation>
    <dataValidation sqref="AL7:AL26" showDropDown="0" showInputMessage="0" showErrorMessage="1" allowBlank="0" errorTitle="Score out of range" error="Enter a score between 0 and the criterion's Max Marks (row 6)." type="decimal" operator="between">
      <formula1>0</formula1>
      <formula2>$AL$6</formula2>
    </dataValidation>
    <dataValidation sqref="AM7:AM26" showDropDown="0" showInputMessage="0" showErrorMessage="1" allowBlank="0" errorTitle="Score out of range" error="Enter a score between 0 and the criterion's Max Marks (row 6)." type="decimal" operator="between">
      <formula1>0</formula1>
      <formula2>$AM$6</formula2>
    </dataValidation>
    <dataValidation sqref="AN7:AO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F7:G26" showDropDown="0" showInputMessage="0" showErrorMessage="1" allowBlank="1" errorTitle="Pick an SDG" error="Select an SDG from the list." type="list">
      <formula1>SDGList</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C55A11"/>
    <outlinePr summaryBelow="1" summaryRight="1"/>
    <pageSetUpPr fitToPage="1"/>
  </sheetPr>
  <dimension ref="A1:BR47"/>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9" customWidth="1" min="3" max="3"/>
    <col width="30" customWidth="1" min="4" max="4"/>
    <col width="30" customWidth="1" min="5" max="5"/>
    <col width="26" customWidth="1" min="6" max="6"/>
    <col width="26" customWidth="1" min="7" max="7"/>
    <col width="34"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8.5" customWidth="1" min="17" max="17"/>
    <col width="8.5" customWidth="1" min="18" max="18"/>
    <col width="8.5" customWidth="1" min="19" max="19"/>
    <col width="8.5" customWidth="1" min="20" max="20"/>
    <col width="8.5" customWidth="1" min="21" max="21"/>
    <col width="8.5" customWidth="1" min="22" max="22"/>
    <col width="8.5" customWidth="1" min="23" max="23"/>
    <col width="8.5" customWidth="1" min="24" max="24"/>
    <col width="8.5" customWidth="1" min="25" max="25"/>
    <col width="8.5" customWidth="1" min="26" max="26"/>
    <col width="8.5" customWidth="1" min="27" max="27"/>
    <col width="8.5" customWidth="1" min="28" max="28"/>
    <col width="8.5" customWidth="1" min="29" max="29"/>
    <col width="8.5" customWidth="1" min="30" max="30"/>
    <col width="8.5" customWidth="1" min="31" max="31"/>
    <col width="8.5" customWidth="1" min="32" max="32"/>
    <col width="8.5" customWidth="1" min="33" max="33"/>
    <col width="8.5" customWidth="1" min="34" max="34"/>
    <col width="8.5" customWidth="1" min="35" max="35"/>
    <col width="8.5" customWidth="1" min="36" max="36"/>
    <col width="8.5" customWidth="1" min="37" max="37"/>
    <col width="8.5" customWidth="1" min="38" max="38"/>
    <col width="8.5" customWidth="1" min="39" max="39"/>
    <col width="8.5" customWidth="1" min="40" max="40"/>
    <col width="8.5" customWidth="1" min="41" max="41"/>
    <col width="8.5" customWidth="1" min="42" max="42"/>
    <col width="8.5" customWidth="1" min="43" max="43"/>
    <col width="8.5" customWidth="1" min="44" max="44"/>
    <col width="8.5" customWidth="1" min="45" max="45"/>
    <col width="8.5" customWidth="1" min="46" max="46"/>
    <col width="8.5" customWidth="1" min="47" max="47"/>
    <col width="8.5" customWidth="1" min="48" max="48"/>
    <col width="8.5" customWidth="1" min="49" max="49"/>
    <col width="8.5" customWidth="1" min="50" max="50"/>
    <col width="8.5" customWidth="1" min="51" max="51"/>
    <col width="8.5" customWidth="1" min="52" max="52"/>
    <col width="8.5" customWidth="1" min="53" max="53"/>
    <col width="8.5" customWidth="1" min="54" max="54"/>
    <col width="8.5" customWidth="1" min="55" max="55"/>
    <col width="14" customWidth="1" min="56" max="56"/>
    <col width="8.5" customWidth="1" min="57" max="57"/>
    <col width="8.5" customWidth="1" min="58" max="58"/>
    <col width="8.5" customWidth="1" min="59" max="59"/>
    <col width="8.5" customWidth="1" min="60" max="60"/>
    <col width="8.5" customWidth="1" min="61" max="61"/>
    <col width="8.5" customWidth="1" min="62" max="62"/>
    <col width="8.5" customWidth="1" min="63" max="63"/>
    <col width="8.5" customWidth="1" min="64" max="64"/>
    <col width="8.5" customWidth="1" min="65" max="65"/>
    <col width="8.5" customWidth="1" min="66" max="66"/>
    <col width="8.5" customWidth="1" min="67" max="67"/>
    <col width="8.5" customWidth="1" min="68" max="68"/>
    <col width="8.5" customWidth="1" min="69" max="69"/>
    <col hidden="1" width="13" customWidth="1" min="70" max="70"/>
  </cols>
  <sheetData>
    <row r="1">
      <c r="A1" s="26">
        <f>Mapping!$C$3&amp;" — 3rd Semester — Inter-Section Hackathon (Finals)"</f>
        <v/>
      </c>
      <c r="AP1" s="9">
        <f>Mapping!$C$4&amp;" | Dept. of "&amp;Mapping!$C$5&amp;" | AY "&amp;Mapping!$C$6</f>
        <v/>
      </c>
    </row>
    <row r="2">
      <c r="A2" s="24" t="inlineStr">
        <is>
          <t>Date:</t>
        </is>
      </c>
      <c r="B2" s="29" t="n"/>
      <c r="C2" s="21" t="n"/>
      <c r="D2" s="32" t="inlineStr">
        <is>
          <t>Venue / Coordinator:</t>
        </is>
      </c>
      <c r="E2" s="6" t="n"/>
      <c r="F2" s="21" t="n"/>
      <c r="G2" s="21" t="n"/>
      <c r="H2" s="21" t="n"/>
      <c r="AP2" s="32">
        <f>"PO/PSO target per team: "&amp;TEXT(Mapping!$C$7,"0%")&amp;"  |  SDG reached at strength ≥ "&amp;Mapping!$C$12&amp;"  |  Shortlist: top "&amp;Mapping!$C$11</f>
        <v/>
      </c>
      <c r="AQ2" s="36" t="n"/>
      <c r="AR2" s="36" t="n"/>
      <c r="AS2" s="36" t="n"/>
      <c r="AT2" s="36" t="n"/>
      <c r="AU2" s="36" t="n"/>
      <c r="AV2" s="36" t="n"/>
      <c r="AW2" s="36" t="n"/>
      <c r="AX2" s="36" t="n"/>
      <c r="AY2" s="36" t="n"/>
      <c r="AZ2" s="36" t="n"/>
      <c r="BA2" s="36" t="n"/>
      <c r="BB2" s="4" t="n"/>
    </row>
    <row r="3">
      <c r="D3" s="32" t="inlineStr">
        <is>
          <t>Evaluator names →</t>
        </is>
      </c>
      <c r="I3" s="40" t="inlineStr">
        <is>
          <t>Evaluator 1:</t>
        </is>
      </c>
      <c r="J3" s="4" t="n"/>
      <c r="K3" s="6" t="n"/>
      <c r="L3" s="21" t="n"/>
      <c r="M3" s="21" t="n"/>
      <c r="N3" s="21" t="n"/>
      <c r="O3" s="21" t="n"/>
      <c r="P3" s="21" t="n"/>
      <c r="Q3" s="21" t="n"/>
      <c r="R3" s="21" t="n"/>
      <c r="S3" s="21" t="n"/>
      <c r="T3" s="41" t="inlineStr">
        <is>
          <t>Evaluator 2:</t>
        </is>
      </c>
      <c r="U3" s="4" t="n"/>
      <c r="V3" s="6" t="n"/>
      <c r="W3" s="21" t="n"/>
      <c r="X3" s="21" t="n"/>
      <c r="Y3" s="21" t="n"/>
      <c r="Z3" s="21" t="n"/>
      <c r="AA3" s="21" t="n"/>
      <c r="AB3" s="21" t="n"/>
      <c r="AC3" s="21" t="n"/>
      <c r="AD3" s="21" t="n"/>
      <c r="AE3" s="42" t="inlineStr">
        <is>
          <t>Evaluator 3:</t>
        </is>
      </c>
      <c r="AF3" s="4" t="n"/>
      <c r="AG3" s="6" t="n"/>
      <c r="AH3" s="21" t="n"/>
      <c r="AI3" s="21" t="n"/>
      <c r="AJ3" s="21" t="n"/>
      <c r="AK3" s="21" t="n"/>
      <c r="AL3" s="21" t="n"/>
      <c r="AM3" s="21" t="n"/>
      <c r="AN3" s="21" t="n"/>
      <c r="AO3" s="21" t="n"/>
    </row>
    <row r="4" ht="30" customHeight="1">
      <c r="A4" s="9" t="inlineStr">
        <is>
          <t>Team Details (Coordinator) — auto-filled from section shortlists</t>
        </is>
      </c>
      <c r="B4" s="21" t="n"/>
      <c r="C4" s="21" t="n"/>
      <c r="D4" s="21" t="n"/>
      <c r="E4" s="21" t="n"/>
      <c r="F4" s="21" t="n"/>
      <c r="G4" s="21" t="n"/>
      <c r="H4" s="21" t="n"/>
      <c r="I4" s="43" t="inlineStr">
        <is>
          <t>Evaluator 1 — rubric marks, then SDG contribution strength (0–3)</t>
        </is>
      </c>
      <c r="J4" s="21" t="n"/>
      <c r="K4" s="21" t="n"/>
      <c r="L4" s="21" t="n"/>
      <c r="M4" s="21" t="n"/>
      <c r="N4" s="21" t="n"/>
      <c r="O4" s="21" t="n"/>
      <c r="P4" s="21" t="n"/>
      <c r="Q4" s="21" t="n"/>
      <c r="R4" s="21" t="n"/>
      <c r="S4" s="21" t="n"/>
      <c r="T4" s="44" t="inlineStr">
        <is>
          <t>Evaluator 2 — rubric marks, then SDG contribution strength (0–3)</t>
        </is>
      </c>
      <c r="U4" s="21" t="n"/>
      <c r="V4" s="21" t="n"/>
      <c r="W4" s="21" t="n"/>
      <c r="X4" s="21" t="n"/>
      <c r="Y4" s="21" t="n"/>
      <c r="Z4" s="21" t="n"/>
      <c r="AA4" s="21" t="n"/>
      <c r="AB4" s="21" t="n"/>
      <c r="AC4" s="21" t="n"/>
      <c r="AD4" s="21" t="n"/>
      <c r="AE4" s="45" t="inlineStr">
        <is>
          <t>Evaluator 3 — rubric marks, then SDG contribution strength (0–3)</t>
        </is>
      </c>
      <c r="AF4" s="21" t="n"/>
      <c r="AG4" s="21" t="n"/>
      <c r="AH4" s="21" t="n"/>
      <c r="AI4" s="21" t="n"/>
      <c r="AJ4" s="21" t="n"/>
      <c r="AK4" s="21" t="n"/>
      <c r="AL4" s="21" t="n"/>
      <c r="AM4" s="21" t="n"/>
      <c r="AN4" s="21" t="n"/>
      <c r="AO4" s="21" t="n"/>
      <c r="AP4" s="46" t="inlineStr">
        <is>
          <t>Consolidated rubric score (average of evaluators)</t>
        </is>
      </c>
      <c r="AQ4" s="21" t="n"/>
      <c r="AR4" s="21" t="n"/>
      <c r="AS4" s="21" t="n"/>
      <c r="AT4" s="21" t="n"/>
      <c r="AU4" s="21" t="n"/>
      <c r="AV4" s="21" t="n"/>
      <c r="AW4" s="21" t="n"/>
      <c r="AX4" s="21" t="n"/>
      <c r="AY4" s="16" t="inlineStr">
        <is>
          <t>SDG strength (avg, 0–3)</t>
        </is>
      </c>
      <c r="AZ4" s="21" t="n"/>
      <c r="BA4" s="2" t="inlineStr">
        <is>
          <t>Result</t>
        </is>
      </c>
      <c r="BB4" s="21" t="n"/>
      <c r="BC4" s="21" t="n"/>
      <c r="BD4" s="21" t="n"/>
      <c r="BE4" s="9" t="inlineStr">
        <is>
          <t>Programme Outcome attainment per team (%)</t>
        </is>
      </c>
      <c r="BF4" s="21" t="n"/>
      <c r="BG4" s="21" t="n"/>
      <c r="BH4" s="21" t="n"/>
      <c r="BI4" s="21" t="n"/>
      <c r="BJ4" s="21" t="n"/>
      <c r="BK4" s="21" t="n"/>
      <c r="BL4" s="21" t="n"/>
      <c r="BM4" s="21" t="n"/>
      <c r="BN4" s="21" t="n"/>
      <c r="BO4" s="21" t="n"/>
      <c r="BP4" s="38" t="inlineStr">
        <is>
          <t>PSO attainment (%)</t>
        </is>
      </c>
      <c r="BQ4" s="21" t="n"/>
    </row>
    <row r="5" ht="48" customHeight="1">
      <c r="A5" s="9" t="inlineStr">
        <is>
          <t>S.No</t>
        </is>
      </c>
      <c r="B5" s="9" t="inlineStr">
        <is>
          <t>Section</t>
        </is>
      </c>
      <c r="C5" s="9" t="inlineStr">
        <is>
          <t>Team ID</t>
        </is>
      </c>
      <c r="D5" s="9" t="inlineStr">
        <is>
          <t>Team Name</t>
        </is>
      </c>
      <c r="E5" s="9" t="inlineStr">
        <is>
          <t>Team Members (USN / Name)</t>
        </is>
      </c>
      <c r="F5" s="9" t="inlineStr">
        <is>
          <t>Primary SDG</t>
        </is>
      </c>
      <c r="G5" s="9" t="inlineStr">
        <is>
          <t>Secondary SDG (optional)</t>
        </is>
      </c>
      <c r="H5" s="9" t="inlineStr">
        <is>
          <t>Problem Statement / Project Title</t>
        </is>
      </c>
      <c r="I5" s="47">
        <f>Rubric!C4</f>
        <v/>
      </c>
      <c r="J5" s="47">
        <f>Rubric!C5</f>
        <v/>
      </c>
      <c r="K5" s="47">
        <f>Rubric!C6</f>
        <v/>
      </c>
      <c r="L5" s="47">
        <f>Rubric!C7</f>
        <v/>
      </c>
      <c r="M5" s="47">
        <f>Rubric!C8</f>
        <v/>
      </c>
      <c r="N5" s="47">
        <f>Rubric!C9</f>
        <v/>
      </c>
      <c r="O5" s="47">
        <f>Rubric!C10</f>
        <v/>
      </c>
      <c r="P5" s="47">
        <f>Rubric!C11</f>
        <v/>
      </c>
      <c r="Q5" s="47">
        <f>Rubric!C12</f>
        <v/>
      </c>
      <c r="R5" s="48" t="inlineStr">
        <is>
          <t>Primary SDG strength</t>
        </is>
      </c>
      <c r="S5" s="48" t="inlineStr">
        <is>
          <t>Secondary SDG strength</t>
        </is>
      </c>
      <c r="T5" s="49">
        <f>Rubric!C4</f>
        <v/>
      </c>
      <c r="U5" s="49">
        <f>Rubric!C5</f>
        <v/>
      </c>
      <c r="V5" s="49">
        <f>Rubric!C6</f>
        <v/>
      </c>
      <c r="W5" s="49">
        <f>Rubric!C7</f>
        <v/>
      </c>
      <c r="X5" s="49">
        <f>Rubric!C8</f>
        <v/>
      </c>
      <c r="Y5" s="49">
        <f>Rubric!C9</f>
        <v/>
      </c>
      <c r="Z5" s="49">
        <f>Rubric!C10</f>
        <v/>
      </c>
      <c r="AA5" s="49">
        <f>Rubric!C11</f>
        <v/>
      </c>
      <c r="AB5" s="49">
        <f>Rubric!C12</f>
        <v/>
      </c>
      <c r="AC5" s="48" t="inlineStr">
        <is>
          <t>Primary SDG strength</t>
        </is>
      </c>
      <c r="AD5" s="48" t="inlineStr">
        <is>
          <t>Secondary SDG strength</t>
        </is>
      </c>
      <c r="AE5" s="50">
        <f>Rubric!C4</f>
        <v/>
      </c>
      <c r="AF5" s="50">
        <f>Rubric!C5</f>
        <v/>
      </c>
      <c r="AG5" s="50">
        <f>Rubric!C6</f>
        <v/>
      </c>
      <c r="AH5" s="50">
        <f>Rubric!C7</f>
        <v/>
      </c>
      <c r="AI5" s="50">
        <f>Rubric!C8</f>
        <v/>
      </c>
      <c r="AJ5" s="50">
        <f>Rubric!C9</f>
        <v/>
      </c>
      <c r="AK5" s="50">
        <f>Rubric!C10</f>
        <v/>
      </c>
      <c r="AL5" s="50">
        <f>Rubric!C11</f>
        <v/>
      </c>
      <c r="AM5" s="50">
        <f>Rubric!C12</f>
        <v/>
      </c>
      <c r="AN5" s="48" t="inlineStr">
        <is>
          <t>Primary SDG strength</t>
        </is>
      </c>
      <c r="AO5" s="48" t="inlineStr">
        <is>
          <t>Secondary SDG strength</t>
        </is>
      </c>
      <c r="AP5" s="51">
        <f>Rubric!C4</f>
        <v/>
      </c>
      <c r="AQ5" s="51">
        <f>Rubric!C5</f>
        <v/>
      </c>
      <c r="AR5" s="51">
        <f>Rubric!C6</f>
        <v/>
      </c>
      <c r="AS5" s="51">
        <f>Rubric!C7</f>
        <v/>
      </c>
      <c r="AT5" s="51">
        <f>Rubric!C8</f>
        <v/>
      </c>
      <c r="AU5" s="51">
        <f>Rubric!C9</f>
        <v/>
      </c>
      <c r="AV5" s="51">
        <f>Rubric!C10</f>
        <v/>
      </c>
      <c r="AW5" s="51">
        <f>Rubric!C11</f>
        <v/>
      </c>
      <c r="AX5" s="51">
        <f>Rubric!C12</f>
        <v/>
      </c>
      <c r="AY5" s="48" t="inlineStr">
        <is>
          <t>Primary SDG strength</t>
        </is>
      </c>
      <c r="AZ5" s="48" t="inlineStr">
        <is>
          <t>Secondary SDG strength</t>
        </is>
      </c>
      <c r="BA5" s="7" t="inlineStr">
        <is>
          <t>Total</t>
        </is>
      </c>
      <c r="BB5" s="7" t="inlineStr">
        <is>
          <t>Score %</t>
        </is>
      </c>
      <c r="BC5" s="7" t="inlineStr">
        <is>
          <t>Rank</t>
        </is>
      </c>
      <c r="BD5" s="7" t="inlineStr">
        <is>
          <t>Status</t>
        </is>
      </c>
      <c r="BE5" s="10" t="inlineStr">
        <is>
          <t>PO1</t>
        </is>
      </c>
      <c r="BF5" s="10" t="inlineStr">
        <is>
          <t>PO2</t>
        </is>
      </c>
      <c r="BG5" s="10" t="inlineStr">
        <is>
          <t>PO3</t>
        </is>
      </c>
      <c r="BH5" s="10" t="inlineStr">
        <is>
          <t>PO4</t>
        </is>
      </c>
      <c r="BI5" s="10" t="inlineStr">
        <is>
          <t>PO5</t>
        </is>
      </c>
      <c r="BJ5" s="10" t="inlineStr">
        <is>
          <t>PO6</t>
        </is>
      </c>
      <c r="BK5" s="10" t="inlineStr">
        <is>
          <t>PO7</t>
        </is>
      </c>
      <c r="BL5" s="10" t="inlineStr">
        <is>
          <t>PO8</t>
        </is>
      </c>
      <c r="BM5" s="10" t="inlineStr">
        <is>
          <t>PO9</t>
        </is>
      </c>
      <c r="BN5" s="10" t="inlineStr">
        <is>
          <t>PO10</t>
        </is>
      </c>
      <c r="BO5" s="10" t="inlineStr">
        <is>
          <t>PO11</t>
        </is>
      </c>
      <c r="BP5" s="10" t="inlineStr">
        <is>
          <t>PSO1</t>
        </is>
      </c>
      <c r="BQ5" s="10" t="inlineStr">
        <is>
          <t>PSO2</t>
        </is>
      </c>
    </row>
    <row r="6">
      <c r="A6" s="21" t="n"/>
      <c r="B6" s="21" t="n"/>
      <c r="C6" s="21" t="n"/>
      <c r="D6" s="21" t="n"/>
      <c r="E6" s="21" t="n"/>
      <c r="F6" s="21" t="n"/>
      <c r="G6" s="21" t="n"/>
      <c r="H6" s="21" t="n"/>
      <c r="I6" s="52">
        <f>Rubric!D4</f>
        <v/>
      </c>
      <c r="J6" s="52">
        <f>Rubric!D5</f>
        <v/>
      </c>
      <c r="K6" s="52">
        <f>Rubric!D6</f>
        <v/>
      </c>
      <c r="L6" s="52">
        <f>Rubric!D7</f>
        <v/>
      </c>
      <c r="M6" s="52">
        <f>Rubric!D8</f>
        <v/>
      </c>
      <c r="N6" s="52">
        <f>Rubric!D9</f>
        <v/>
      </c>
      <c r="O6" s="52">
        <f>Rubric!D10</f>
        <v/>
      </c>
      <c r="P6" s="52">
        <f>Rubric!D11</f>
        <v/>
      </c>
      <c r="Q6" s="52">
        <f>Rubric!D12</f>
        <v/>
      </c>
      <c r="R6" s="53" t="inlineStr">
        <is>
          <t>0–3</t>
        </is>
      </c>
      <c r="S6" s="53" t="inlineStr">
        <is>
          <t>0–3</t>
        </is>
      </c>
      <c r="T6" s="54">
        <f>Rubric!D4</f>
        <v/>
      </c>
      <c r="U6" s="54">
        <f>Rubric!D5</f>
        <v/>
      </c>
      <c r="V6" s="54">
        <f>Rubric!D6</f>
        <v/>
      </c>
      <c r="W6" s="54">
        <f>Rubric!D7</f>
        <v/>
      </c>
      <c r="X6" s="54">
        <f>Rubric!D8</f>
        <v/>
      </c>
      <c r="Y6" s="54">
        <f>Rubric!D9</f>
        <v/>
      </c>
      <c r="Z6" s="54">
        <f>Rubric!D10</f>
        <v/>
      </c>
      <c r="AA6" s="54">
        <f>Rubric!D11</f>
        <v/>
      </c>
      <c r="AB6" s="54">
        <f>Rubric!D12</f>
        <v/>
      </c>
      <c r="AC6" s="53" t="inlineStr">
        <is>
          <t>0–3</t>
        </is>
      </c>
      <c r="AD6" s="53" t="inlineStr">
        <is>
          <t>0–3</t>
        </is>
      </c>
      <c r="AE6" s="55">
        <f>Rubric!D4</f>
        <v/>
      </c>
      <c r="AF6" s="55">
        <f>Rubric!D5</f>
        <v/>
      </c>
      <c r="AG6" s="55">
        <f>Rubric!D6</f>
        <v/>
      </c>
      <c r="AH6" s="55">
        <f>Rubric!D7</f>
        <v/>
      </c>
      <c r="AI6" s="55">
        <f>Rubric!D8</f>
        <v/>
      </c>
      <c r="AJ6" s="55">
        <f>Rubric!D9</f>
        <v/>
      </c>
      <c r="AK6" s="55">
        <f>Rubric!D10</f>
        <v/>
      </c>
      <c r="AL6" s="55">
        <f>Rubric!D11</f>
        <v/>
      </c>
      <c r="AM6" s="55">
        <f>Rubric!D12</f>
        <v/>
      </c>
      <c r="AN6" s="53" t="inlineStr">
        <is>
          <t>0–3</t>
        </is>
      </c>
      <c r="AO6" s="53" t="inlineStr">
        <is>
          <t>0–3</t>
        </is>
      </c>
      <c r="AP6" s="56">
        <f>Rubric!D4</f>
        <v/>
      </c>
      <c r="AQ6" s="56">
        <f>Rubric!D5</f>
        <v/>
      </c>
      <c r="AR6" s="56">
        <f>Rubric!D6</f>
        <v/>
      </c>
      <c r="AS6" s="56">
        <f>Rubric!D7</f>
        <v/>
      </c>
      <c r="AT6" s="56">
        <f>Rubric!D8</f>
        <v/>
      </c>
      <c r="AU6" s="56">
        <f>Rubric!D9</f>
        <v/>
      </c>
      <c r="AV6" s="56">
        <f>Rubric!D10</f>
        <v/>
      </c>
      <c r="AW6" s="56">
        <f>Rubric!D11</f>
        <v/>
      </c>
      <c r="AX6" s="56">
        <f>Rubric!D12</f>
        <v/>
      </c>
      <c r="AY6" s="53" t="inlineStr">
        <is>
          <t>0–3</t>
        </is>
      </c>
      <c r="AZ6" s="53" t="inlineStr">
        <is>
          <t>0–3</t>
        </is>
      </c>
      <c r="BA6" s="7">
        <f>Rubric!$D$13</f>
        <v/>
      </c>
      <c r="BB6" s="57" t="inlineStr"/>
      <c r="BC6" s="57" t="inlineStr"/>
      <c r="BD6" s="57" t="inlineStr"/>
      <c r="BE6" s="58" t="inlineStr">
        <is>
          <t>%</t>
        </is>
      </c>
      <c r="BF6" s="58" t="inlineStr">
        <is>
          <t>%</t>
        </is>
      </c>
      <c r="BG6" s="58" t="inlineStr">
        <is>
          <t>%</t>
        </is>
      </c>
      <c r="BH6" s="58" t="inlineStr">
        <is>
          <t>%</t>
        </is>
      </c>
      <c r="BI6" s="58" t="inlineStr">
        <is>
          <t>%</t>
        </is>
      </c>
      <c r="BJ6" s="58" t="inlineStr">
        <is>
          <t>%</t>
        </is>
      </c>
      <c r="BK6" s="58" t="inlineStr">
        <is>
          <t>%</t>
        </is>
      </c>
      <c r="BL6" s="58" t="inlineStr">
        <is>
          <t>%</t>
        </is>
      </c>
      <c r="BM6" s="58" t="inlineStr">
        <is>
          <t>%</t>
        </is>
      </c>
      <c r="BN6" s="58" t="inlineStr">
        <is>
          <t>%</t>
        </is>
      </c>
      <c r="BO6" s="58" t="inlineStr">
        <is>
          <t>%</t>
        </is>
      </c>
      <c r="BP6" s="58" t="inlineStr">
        <is>
          <t>%</t>
        </is>
      </c>
      <c r="BQ6" s="58" t="inlineStr">
        <is>
          <t>%</t>
        </is>
      </c>
    </row>
    <row r="7" ht="30" customHeight="1">
      <c r="A7" s="28" t="n">
        <v>1</v>
      </c>
      <c r="B7" s="29" t="inlineStr">
        <is>
          <t>3rd Sem - A</t>
        </is>
      </c>
      <c r="C7" s="29">
        <f>IFERROR(INDEX('3A Intra'!$C$7:$C$26,MATCH(1,'3A Intra'!$BC$7:$BC$26,0))&amp;"","")</f>
        <v/>
      </c>
      <c r="D7" s="6">
        <f>IFERROR(INDEX('3A Intra'!$D$7:$D$26,MATCH(1,'3A Intra'!$BC$7:$BC$26,0))&amp;"","")</f>
        <v/>
      </c>
      <c r="E7" s="6">
        <f>IFERROR(INDEX('3A Intra'!$E$7:$E$26,MATCH(1,'3A Intra'!$BC$7:$BC$26,0))&amp;"","")</f>
        <v/>
      </c>
      <c r="F7" s="29">
        <f>IFERROR(INDEX('3A Intra'!$F$7:$F$26,MATCH(1,'3A Intra'!$BC$7:$BC$26,0))&amp;"","")</f>
        <v/>
      </c>
      <c r="G7" s="29">
        <f>IFERROR(INDEX('3A Intra'!$G$7:$G$26,MATCH(1,'3A Intra'!$BC$7:$BC$26,0))&amp;"","")</f>
        <v/>
      </c>
      <c r="H7" s="6">
        <f>IFERROR(INDEX('3A Intra'!$H$7:$H$26,MATCH(1,'3A Intra'!$BC$7:$BC$26,0))&amp;"","")</f>
        <v/>
      </c>
      <c r="I7" s="29" t="n"/>
      <c r="J7" s="29" t="n"/>
      <c r="K7" s="29" t="n"/>
      <c r="L7" s="29" t="n"/>
      <c r="M7" s="29" t="n"/>
      <c r="N7" s="29" t="n"/>
      <c r="O7" s="29" t="n"/>
      <c r="P7" s="29" t="n"/>
      <c r="Q7" s="29" t="n"/>
      <c r="R7" s="29" t="n"/>
      <c r="S7" s="29" t="n"/>
      <c r="T7" s="29" t="n"/>
      <c r="U7" s="29" t="n"/>
      <c r="V7" s="29" t="n"/>
      <c r="W7" s="29" t="n"/>
      <c r="X7" s="29" t="n"/>
      <c r="Y7" s="29" t="n"/>
      <c r="Z7" s="29" t="n"/>
      <c r="AA7" s="29" t="n"/>
      <c r="AB7" s="29" t="n"/>
      <c r="AC7" s="29" t="n"/>
      <c r="AD7" s="29" t="n"/>
      <c r="AE7" s="29" t="n"/>
      <c r="AF7" s="29" t="n"/>
      <c r="AG7" s="29" t="n"/>
      <c r="AH7" s="29" t="n"/>
      <c r="AI7" s="29" t="n"/>
      <c r="AJ7" s="29" t="n"/>
      <c r="AK7" s="29" t="n"/>
      <c r="AL7" s="29" t="n"/>
      <c r="AM7" s="29" t="n"/>
      <c r="AN7" s="29" t="n"/>
      <c r="AO7" s="29" t="n"/>
      <c r="AP7" s="59">
        <f>IF(COUNT(I7,T7,AE7)=0,"",AVERAGE(I7,T7,AE7))</f>
        <v/>
      </c>
      <c r="AQ7" s="59">
        <f>IF(COUNT(J7,U7,AF7)=0,"",AVERAGE(J7,U7,AF7))</f>
        <v/>
      </c>
      <c r="AR7" s="59">
        <f>IF(COUNT(K7,V7,AG7)=0,"",AVERAGE(K7,V7,AG7))</f>
        <v/>
      </c>
      <c r="AS7" s="59">
        <f>IF(COUNT(L7,W7,AH7)=0,"",AVERAGE(L7,W7,AH7))</f>
        <v/>
      </c>
      <c r="AT7" s="59">
        <f>IF(COUNT(M7,X7,AI7)=0,"",AVERAGE(M7,X7,AI7))</f>
        <v/>
      </c>
      <c r="AU7" s="59">
        <f>IF(COUNT(N7,Y7,AJ7)=0,"",AVERAGE(N7,Y7,AJ7))</f>
        <v/>
      </c>
      <c r="AV7" s="59">
        <f>IF(COUNT(O7,Z7,AK7)=0,"",AVERAGE(O7,Z7,AK7))</f>
        <v/>
      </c>
      <c r="AW7" s="59">
        <f>IF(COUNT(P7,AA7,AL7)=0,"",AVERAGE(P7,AA7,AL7))</f>
        <v/>
      </c>
      <c r="AX7" s="59">
        <f>IF(COUNT(Q7,AB7,AM7)=0,"",AVERAGE(Q7,AB7,AM7))</f>
        <v/>
      </c>
      <c r="AY7" s="60">
        <f>IF(OR($F7="",COUNT(R7,AC7,AN7)=0),"",AVERAGE(R7,AC7,AN7))</f>
        <v/>
      </c>
      <c r="AZ7" s="60">
        <f>IF(OR($G7="",$G7=$F7,COUNT(S7,AD7,AO7)=0),"",AVERAGE(S7,AD7,AO7))</f>
        <v/>
      </c>
      <c r="BA7" s="61">
        <f>IF(COUNT(AP7:AX7)=0,"",SUM(AP7:AX7))</f>
        <v/>
      </c>
      <c r="BB7" s="62">
        <f>IF(BA7="","",BA7/BA$6)</f>
        <v/>
      </c>
      <c r="BC7" s="14">
        <f>IF(BR7="","",COUNTIF($BR$7:$BR$16,"&gt;"&amp;BR7)+COUNTIF($BR$7:BR7,BR7))</f>
        <v/>
      </c>
      <c r="BD7" s="63">
        <f>IF(BC7="","",IF(BC7&lt;=Mapping!$C$11,"Shortlisted","Not shortlisted"))</f>
        <v/>
      </c>
      <c r="BE7" s="64">
        <f>IFERROR((AP7/AP$6*Mapping!$D$15+AQ7/AQ$6*Mapping!$D$16+AR7/AR$6*Mapping!$D$17+AS7/AS$6*Mapping!$D$18+AT7/AT$6*Mapping!$D$19+AU7/AU$6*Mapping!$D$20+AV7/AV$6*Mapping!$D$21+AW7/AW$6*Mapping!$D$22+AX7/AX$6*Mapping!$D$23)/SUM(Mapping!$D$15:$D$23),"")</f>
        <v/>
      </c>
      <c r="BF7" s="64">
        <f>IFERROR((AP7/AP$6*Mapping!$E$15+AQ7/AQ$6*Mapping!$E$16+AR7/AR$6*Mapping!$E$17+AS7/AS$6*Mapping!$E$18+AT7/AT$6*Mapping!$E$19+AU7/AU$6*Mapping!$E$20+AV7/AV$6*Mapping!$E$21+AW7/AW$6*Mapping!$E$22+AX7/AX$6*Mapping!$E$23)/SUM(Mapping!$E$15:$E$23),"")</f>
        <v/>
      </c>
      <c r="BG7" s="64">
        <f>IFERROR((AP7/AP$6*Mapping!$F$15+AQ7/AQ$6*Mapping!$F$16+AR7/AR$6*Mapping!$F$17+AS7/AS$6*Mapping!$F$18+AT7/AT$6*Mapping!$F$19+AU7/AU$6*Mapping!$F$20+AV7/AV$6*Mapping!$F$21+AW7/AW$6*Mapping!$F$22+AX7/AX$6*Mapping!$F$23)/SUM(Mapping!$F$15:$F$23),"")</f>
        <v/>
      </c>
      <c r="BH7" s="64">
        <f>IFERROR((AP7/AP$6*Mapping!$G$15+AQ7/AQ$6*Mapping!$G$16+AR7/AR$6*Mapping!$G$17+AS7/AS$6*Mapping!$G$18+AT7/AT$6*Mapping!$G$19+AU7/AU$6*Mapping!$G$20+AV7/AV$6*Mapping!$G$21+AW7/AW$6*Mapping!$G$22+AX7/AX$6*Mapping!$G$23)/SUM(Mapping!$G$15:$G$23),"")</f>
        <v/>
      </c>
      <c r="BI7" s="64">
        <f>IFERROR((AP7/AP$6*Mapping!$H$15+AQ7/AQ$6*Mapping!$H$16+AR7/AR$6*Mapping!$H$17+AS7/AS$6*Mapping!$H$18+AT7/AT$6*Mapping!$H$19+AU7/AU$6*Mapping!$H$20+AV7/AV$6*Mapping!$H$21+AW7/AW$6*Mapping!$H$22+AX7/AX$6*Mapping!$H$23)/SUM(Mapping!$H$15:$H$23),"")</f>
        <v/>
      </c>
      <c r="BJ7" s="64">
        <f>IFERROR((AP7/AP$6*Mapping!$I$15+AQ7/AQ$6*Mapping!$I$16+AR7/AR$6*Mapping!$I$17+AS7/AS$6*Mapping!$I$18+AT7/AT$6*Mapping!$I$19+AU7/AU$6*Mapping!$I$20+AV7/AV$6*Mapping!$I$21+AW7/AW$6*Mapping!$I$22+AX7/AX$6*Mapping!$I$23)/SUM(Mapping!$I$15:$I$23),"")</f>
        <v/>
      </c>
      <c r="BK7" s="64">
        <f>IFERROR((AP7/AP$6*Mapping!$J$15+AQ7/AQ$6*Mapping!$J$16+AR7/AR$6*Mapping!$J$17+AS7/AS$6*Mapping!$J$18+AT7/AT$6*Mapping!$J$19+AU7/AU$6*Mapping!$J$20+AV7/AV$6*Mapping!$J$21+AW7/AW$6*Mapping!$J$22+AX7/AX$6*Mapping!$J$23)/SUM(Mapping!$J$15:$J$23),"")</f>
        <v/>
      </c>
      <c r="BL7" s="64">
        <f>IFERROR((AP7/AP$6*Mapping!$K$15+AQ7/AQ$6*Mapping!$K$16+AR7/AR$6*Mapping!$K$17+AS7/AS$6*Mapping!$K$18+AT7/AT$6*Mapping!$K$19+AU7/AU$6*Mapping!$K$20+AV7/AV$6*Mapping!$K$21+AW7/AW$6*Mapping!$K$22+AX7/AX$6*Mapping!$K$23)/SUM(Mapping!$K$15:$K$23),"")</f>
        <v/>
      </c>
      <c r="BM7" s="64">
        <f>IFERROR((AP7/AP$6*Mapping!$L$15+AQ7/AQ$6*Mapping!$L$16+AR7/AR$6*Mapping!$L$17+AS7/AS$6*Mapping!$L$18+AT7/AT$6*Mapping!$L$19+AU7/AU$6*Mapping!$L$20+AV7/AV$6*Mapping!$L$21+AW7/AW$6*Mapping!$L$22+AX7/AX$6*Mapping!$L$23)/SUM(Mapping!$L$15:$L$23),"")</f>
        <v/>
      </c>
      <c r="BN7" s="64">
        <f>IFERROR((AP7/AP$6*Mapping!$M$15+AQ7/AQ$6*Mapping!$M$16+AR7/AR$6*Mapping!$M$17+AS7/AS$6*Mapping!$M$18+AT7/AT$6*Mapping!$M$19+AU7/AU$6*Mapping!$M$20+AV7/AV$6*Mapping!$M$21+AW7/AW$6*Mapping!$M$22+AX7/AX$6*Mapping!$M$23)/SUM(Mapping!$M$15:$M$23),"")</f>
        <v/>
      </c>
      <c r="BO7" s="64">
        <f>IFERROR((AP7/AP$6*Mapping!$N$15+AQ7/AQ$6*Mapping!$N$16+AR7/AR$6*Mapping!$N$17+AS7/AS$6*Mapping!$N$18+AT7/AT$6*Mapping!$N$19+AU7/AU$6*Mapping!$N$20+AV7/AV$6*Mapping!$N$21+AW7/AW$6*Mapping!$N$22+AX7/AX$6*Mapping!$N$23)/SUM(Mapping!$N$15:$N$23),"")</f>
        <v/>
      </c>
      <c r="BP7" s="64">
        <f>IFERROR((AP7/AP$6*Mapping!$O$15+AQ7/AQ$6*Mapping!$O$16+AR7/AR$6*Mapping!$O$17+AS7/AS$6*Mapping!$O$18+AT7/AT$6*Mapping!$O$19+AU7/AU$6*Mapping!$O$20+AV7/AV$6*Mapping!$O$21+AW7/AW$6*Mapping!$O$22+AX7/AX$6*Mapping!$O$23)/SUM(Mapping!$O$15:$O$23),"")</f>
        <v/>
      </c>
      <c r="BQ7" s="64">
        <f>IFERROR((AP7/AP$6*Mapping!$P$15+AQ7/AQ$6*Mapping!$P$16+AR7/AR$6*Mapping!$P$17+AS7/AS$6*Mapping!$P$18+AT7/AT$6*Mapping!$P$19+AU7/AU$6*Mapping!$P$20+AV7/AV$6*Mapping!$P$21+AW7/AW$6*Mapping!$P$22+AX7/AX$6*Mapping!$P$23)/SUM(Mapping!$P$15:$P$23),"")</f>
        <v/>
      </c>
      <c r="BR7" s="65">
        <f>IF(BA7="","",BA7+N(AS7)/10000)</f>
        <v/>
      </c>
    </row>
    <row r="8" ht="30" customHeight="1">
      <c r="A8" s="28" t="n">
        <v>2</v>
      </c>
      <c r="B8" s="29" t="inlineStr">
        <is>
          <t>3rd Sem - A</t>
        </is>
      </c>
      <c r="C8" s="29">
        <f>IFERROR(INDEX('3A Intra'!$C$7:$C$26,MATCH(2,'3A Intra'!$BC$7:$BC$26,0))&amp;"","")</f>
        <v/>
      </c>
      <c r="D8" s="6">
        <f>IFERROR(INDEX('3A Intra'!$D$7:$D$26,MATCH(2,'3A Intra'!$BC$7:$BC$26,0))&amp;"","")</f>
        <v/>
      </c>
      <c r="E8" s="6">
        <f>IFERROR(INDEX('3A Intra'!$E$7:$E$26,MATCH(2,'3A Intra'!$BC$7:$BC$26,0))&amp;"","")</f>
        <v/>
      </c>
      <c r="F8" s="29">
        <f>IFERROR(INDEX('3A Intra'!$F$7:$F$26,MATCH(2,'3A Intra'!$BC$7:$BC$26,0))&amp;"","")</f>
        <v/>
      </c>
      <c r="G8" s="29">
        <f>IFERROR(INDEX('3A Intra'!$G$7:$G$26,MATCH(2,'3A Intra'!$BC$7:$BC$26,0))&amp;"","")</f>
        <v/>
      </c>
      <c r="H8" s="6">
        <f>IFERROR(INDEX('3A Intra'!$H$7:$H$26,MATCH(2,'3A Intra'!$BC$7:$BC$26,0))&amp;"","")</f>
        <v/>
      </c>
      <c r="I8" s="29" t="n"/>
      <c r="J8" s="29" t="n"/>
      <c r="K8" s="29" t="n"/>
      <c r="L8" s="29" t="n"/>
      <c r="M8" s="29" t="n"/>
      <c r="N8" s="29" t="n"/>
      <c r="O8" s="29" t="n"/>
      <c r="P8" s="29" t="n"/>
      <c r="Q8" s="29" t="n"/>
      <c r="R8" s="29" t="n"/>
      <c r="S8" s="29" t="n"/>
      <c r="T8" s="29" t="n"/>
      <c r="U8" s="29" t="n"/>
      <c r="V8" s="29" t="n"/>
      <c r="W8" s="29" t="n"/>
      <c r="X8" s="29" t="n"/>
      <c r="Y8" s="29" t="n"/>
      <c r="Z8" s="29" t="n"/>
      <c r="AA8" s="29" t="n"/>
      <c r="AB8" s="29" t="n"/>
      <c r="AC8" s="29" t="n"/>
      <c r="AD8" s="29" t="n"/>
      <c r="AE8" s="29" t="n"/>
      <c r="AF8" s="29" t="n"/>
      <c r="AG8" s="29" t="n"/>
      <c r="AH8" s="29" t="n"/>
      <c r="AI8" s="29" t="n"/>
      <c r="AJ8" s="29" t="n"/>
      <c r="AK8" s="29" t="n"/>
      <c r="AL8" s="29" t="n"/>
      <c r="AM8" s="29" t="n"/>
      <c r="AN8" s="29" t="n"/>
      <c r="AO8" s="29" t="n"/>
      <c r="AP8" s="59">
        <f>IF(COUNT(I8,T8,AE8)=0,"",AVERAGE(I8,T8,AE8))</f>
        <v/>
      </c>
      <c r="AQ8" s="59">
        <f>IF(COUNT(J8,U8,AF8)=0,"",AVERAGE(J8,U8,AF8))</f>
        <v/>
      </c>
      <c r="AR8" s="59">
        <f>IF(COUNT(K8,V8,AG8)=0,"",AVERAGE(K8,V8,AG8))</f>
        <v/>
      </c>
      <c r="AS8" s="59">
        <f>IF(COUNT(L8,W8,AH8)=0,"",AVERAGE(L8,W8,AH8))</f>
        <v/>
      </c>
      <c r="AT8" s="59">
        <f>IF(COUNT(M8,X8,AI8)=0,"",AVERAGE(M8,X8,AI8))</f>
        <v/>
      </c>
      <c r="AU8" s="59">
        <f>IF(COUNT(N8,Y8,AJ8)=0,"",AVERAGE(N8,Y8,AJ8))</f>
        <v/>
      </c>
      <c r="AV8" s="59">
        <f>IF(COUNT(O8,Z8,AK8)=0,"",AVERAGE(O8,Z8,AK8))</f>
        <v/>
      </c>
      <c r="AW8" s="59">
        <f>IF(COUNT(P8,AA8,AL8)=0,"",AVERAGE(P8,AA8,AL8))</f>
        <v/>
      </c>
      <c r="AX8" s="59">
        <f>IF(COUNT(Q8,AB8,AM8)=0,"",AVERAGE(Q8,AB8,AM8))</f>
        <v/>
      </c>
      <c r="AY8" s="60">
        <f>IF(OR($F8="",COUNT(R8,AC8,AN8)=0),"",AVERAGE(R8,AC8,AN8))</f>
        <v/>
      </c>
      <c r="AZ8" s="60">
        <f>IF(OR($G8="",$G8=$F8,COUNT(S8,AD8,AO8)=0),"",AVERAGE(S8,AD8,AO8))</f>
        <v/>
      </c>
      <c r="BA8" s="61">
        <f>IF(COUNT(AP8:AX8)=0,"",SUM(AP8:AX8))</f>
        <v/>
      </c>
      <c r="BB8" s="62">
        <f>IF(BA8="","",BA8/BA$6)</f>
        <v/>
      </c>
      <c r="BC8" s="14">
        <f>IF(BR8="","",COUNTIF($BR$7:$BR$16,"&gt;"&amp;BR8)+COUNTIF($BR$7:BR8,BR8))</f>
        <v/>
      </c>
      <c r="BD8" s="63">
        <f>IF(BC8="","",IF(BC8&lt;=Mapping!$C$11,"Shortlisted","Not shortlisted"))</f>
        <v/>
      </c>
      <c r="BE8" s="64">
        <f>IFERROR((AP8/AP$6*Mapping!$D$15+AQ8/AQ$6*Mapping!$D$16+AR8/AR$6*Mapping!$D$17+AS8/AS$6*Mapping!$D$18+AT8/AT$6*Mapping!$D$19+AU8/AU$6*Mapping!$D$20+AV8/AV$6*Mapping!$D$21+AW8/AW$6*Mapping!$D$22+AX8/AX$6*Mapping!$D$23)/SUM(Mapping!$D$15:$D$23),"")</f>
        <v/>
      </c>
      <c r="BF8" s="64">
        <f>IFERROR((AP8/AP$6*Mapping!$E$15+AQ8/AQ$6*Mapping!$E$16+AR8/AR$6*Mapping!$E$17+AS8/AS$6*Mapping!$E$18+AT8/AT$6*Mapping!$E$19+AU8/AU$6*Mapping!$E$20+AV8/AV$6*Mapping!$E$21+AW8/AW$6*Mapping!$E$22+AX8/AX$6*Mapping!$E$23)/SUM(Mapping!$E$15:$E$23),"")</f>
        <v/>
      </c>
      <c r="BG8" s="64">
        <f>IFERROR((AP8/AP$6*Mapping!$F$15+AQ8/AQ$6*Mapping!$F$16+AR8/AR$6*Mapping!$F$17+AS8/AS$6*Mapping!$F$18+AT8/AT$6*Mapping!$F$19+AU8/AU$6*Mapping!$F$20+AV8/AV$6*Mapping!$F$21+AW8/AW$6*Mapping!$F$22+AX8/AX$6*Mapping!$F$23)/SUM(Mapping!$F$15:$F$23),"")</f>
        <v/>
      </c>
      <c r="BH8" s="64">
        <f>IFERROR((AP8/AP$6*Mapping!$G$15+AQ8/AQ$6*Mapping!$G$16+AR8/AR$6*Mapping!$G$17+AS8/AS$6*Mapping!$G$18+AT8/AT$6*Mapping!$G$19+AU8/AU$6*Mapping!$G$20+AV8/AV$6*Mapping!$G$21+AW8/AW$6*Mapping!$G$22+AX8/AX$6*Mapping!$G$23)/SUM(Mapping!$G$15:$G$23),"")</f>
        <v/>
      </c>
      <c r="BI8" s="64">
        <f>IFERROR((AP8/AP$6*Mapping!$H$15+AQ8/AQ$6*Mapping!$H$16+AR8/AR$6*Mapping!$H$17+AS8/AS$6*Mapping!$H$18+AT8/AT$6*Mapping!$H$19+AU8/AU$6*Mapping!$H$20+AV8/AV$6*Mapping!$H$21+AW8/AW$6*Mapping!$H$22+AX8/AX$6*Mapping!$H$23)/SUM(Mapping!$H$15:$H$23),"")</f>
        <v/>
      </c>
      <c r="BJ8" s="64">
        <f>IFERROR((AP8/AP$6*Mapping!$I$15+AQ8/AQ$6*Mapping!$I$16+AR8/AR$6*Mapping!$I$17+AS8/AS$6*Mapping!$I$18+AT8/AT$6*Mapping!$I$19+AU8/AU$6*Mapping!$I$20+AV8/AV$6*Mapping!$I$21+AW8/AW$6*Mapping!$I$22+AX8/AX$6*Mapping!$I$23)/SUM(Mapping!$I$15:$I$23),"")</f>
        <v/>
      </c>
      <c r="BK8" s="64">
        <f>IFERROR((AP8/AP$6*Mapping!$J$15+AQ8/AQ$6*Mapping!$J$16+AR8/AR$6*Mapping!$J$17+AS8/AS$6*Mapping!$J$18+AT8/AT$6*Mapping!$J$19+AU8/AU$6*Mapping!$J$20+AV8/AV$6*Mapping!$J$21+AW8/AW$6*Mapping!$J$22+AX8/AX$6*Mapping!$J$23)/SUM(Mapping!$J$15:$J$23),"")</f>
        <v/>
      </c>
      <c r="BL8" s="64">
        <f>IFERROR((AP8/AP$6*Mapping!$K$15+AQ8/AQ$6*Mapping!$K$16+AR8/AR$6*Mapping!$K$17+AS8/AS$6*Mapping!$K$18+AT8/AT$6*Mapping!$K$19+AU8/AU$6*Mapping!$K$20+AV8/AV$6*Mapping!$K$21+AW8/AW$6*Mapping!$K$22+AX8/AX$6*Mapping!$K$23)/SUM(Mapping!$K$15:$K$23),"")</f>
        <v/>
      </c>
      <c r="BM8" s="64">
        <f>IFERROR((AP8/AP$6*Mapping!$L$15+AQ8/AQ$6*Mapping!$L$16+AR8/AR$6*Mapping!$L$17+AS8/AS$6*Mapping!$L$18+AT8/AT$6*Mapping!$L$19+AU8/AU$6*Mapping!$L$20+AV8/AV$6*Mapping!$L$21+AW8/AW$6*Mapping!$L$22+AX8/AX$6*Mapping!$L$23)/SUM(Mapping!$L$15:$L$23),"")</f>
        <v/>
      </c>
      <c r="BN8" s="64">
        <f>IFERROR((AP8/AP$6*Mapping!$M$15+AQ8/AQ$6*Mapping!$M$16+AR8/AR$6*Mapping!$M$17+AS8/AS$6*Mapping!$M$18+AT8/AT$6*Mapping!$M$19+AU8/AU$6*Mapping!$M$20+AV8/AV$6*Mapping!$M$21+AW8/AW$6*Mapping!$M$22+AX8/AX$6*Mapping!$M$23)/SUM(Mapping!$M$15:$M$23),"")</f>
        <v/>
      </c>
      <c r="BO8" s="64">
        <f>IFERROR((AP8/AP$6*Mapping!$N$15+AQ8/AQ$6*Mapping!$N$16+AR8/AR$6*Mapping!$N$17+AS8/AS$6*Mapping!$N$18+AT8/AT$6*Mapping!$N$19+AU8/AU$6*Mapping!$N$20+AV8/AV$6*Mapping!$N$21+AW8/AW$6*Mapping!$N$22+AX8/AX$6*Mapping!$N$23)/SUM(Mapping!$N$15:$N$23),"")</f>
        <v/>
      </c>
      <c r="BP8" s="64">
        <f>IFERROR((AP8/AP$6*Mapping!$O$15+AQ8/AQ$6*Mapping!$O$16+AR8/AR$6*Mapping!$O$17+AS8/AS$6*Mapping!$O$18+AT8/AT$6*Mapping!$O$19+AU8/AU$6*Mapping!$O$20+AV8/AV$6*Mapping!$O$21+AW8/AW$6*Mapping!$O$22+AX8/AX$6*Mapping!$O$23)/SUM(Mapping!$O$15:$O$23),"")</f>
        <v/>
      </c>
      <c r="BQ8" s="64">
        <f>IFERROR((AP8/AP$6*Mapping!$P$15+AQ8/AQ$6*Mapping!$P$16+AR8/AR$6*Mapping!$P$17+AS8/AS$6*Mapping!$P$18+AT8/AT$6*Mapping!$P$19+AU8/AU$6*Mapping!$P$20+AV8/AV$6*Mapping!$P$21+AW8/AW$6*Mapping!$P$22+AX8/AX$6*Mapping!$P$23)/SUM(Mapping!$P$15:$P$23),"")</f>
        <v/>
      </c>
      <c r="BR8" s="65">
        <f>IF(BA8="","",BA8+N(AS8)/10000)</f>
        <v/>
      </c>
    </row>
    <row r="9" ht="30" customHeight="1">
      <c r="A9" s="28" t="n">
        <v>3</v>
      </c>
      <c r="B9" s="29" t="inlineStr">
        <is>
          <t>3rd Sem - A</t>
        </is>
      </c>
      <c r="C9" s="29">
        <f>IFERROR(INDEX('3A Intra'!$C$7:$C$26,MATCH(3,'3A Intra'!$BC$7:$BC$26,0))&amp;"","")</f>
        <v/>
      </c>
      <c r="D9" s="6">
        <f>IFERROR(INDEX('3A Intra'!$D$7:$D$26,MATCH(3,'3A Intra'!$BC$7:$BC$26,0))&amp;"","")</f>
        <v/>
      </c>
      <c r="E9" s="6">
        <f>IFERROR(INDEX('3A Intra'!$E$7:$E$26,MATCH(3,'3A Intra'!$BC$7:$BC$26,0))&amp;"","")</f>
        <v/>
      </c>
      <c r="F9" s="29">
        <f>IFERROR(INDEX('3A Intra'!$F$7:$F$26,MATCH(3,'3A Intra'!$BC$7:$BC$26,0))&amp;"","")</f>
        <v/>
      </c>
      <c r="G9" s="29">
        <f>IFERROR(INDEX('3A Intra'!$G$7:$G$26,MATCH(3,'3A Intra'!$BC$7:$BC$26,0))&amp;"","")</f>
        <v/>
      </c>
      <c r="H9" s="6">
        <f>IFERROR(INDEX('3A Intra'!$H$7:$H$26,MATCH(3,'3A Intra'!$BC$7:$BC$26,0))&amp;"","")</f>
        <v/>
      </c>
      <c r="I9" s="29" t="n"/>
      <c r="J9" s="29" t="n"/>
      <c r="K9" s="29" t="n"/>
      <c r="L9" s="29" t="n"/>
      <c r="M9" s="29" t="n"/>
      <c r="N9" s="29" t="n"/>
      <c r="O9" s="29" t="n"/>
      <c r="P9" s="29" t="n"/>
      <c r="Q9" s="29" t="n"/>
      <c r="R9" s="29" t="n"/>
      <c r="S9" s="29" t="n"/>
      <c r="T9" s="29" t="n"/>
      <c r="U9" s="29" t="n"/>
      <c r="V9" s="29" t="n"/>
      <c r="W9" s="29" t="n"/>
      <c r="X9" s="29" t="n"/>
      <c r="Y9" s="29" t="n"/>
      <c r="Z9" s="29" t="n"/>
      <c r="AA9" s="29" t="n"/>
      <c r="AB9" s="29" t="n"/>
      <c r="AC9" s="29" t="n"/>
      <c r="AD9" s="29" t="n"/>
      <c r="AE9" s="29" t="n"/>
      <c r="AF9" s="29" t="n"/>
      <c r="AG9" s="29" t="n"/>
      <c r="AH9" s="29" t="n"/>
      <c r="AI9" s="29" t="n"/>
      <c r="AJ9" s="29" t="n"/>
      <c r="AK9" s="29" t="n"/>
      <c r="AL9" s="29" t="n"/>
      <c r="AM9" s="29" t="n"/>
      <c r="AN9" s="29" t="n"/>
      <c r="AO9" s="29" t="n"/>
      <c r="AP9" s="59">
        <f>IF(COUNT(I9,T9,AE9)=0,"",AVERAGE(I9,T9,AE9))</f>
        <v/>
      </c>
      <c r="AQ9" s="59">
        <f>IF(COUNT(J9,U9,AF9)=0,"",AVERAGE(J9,U9,AF9))</f>
        <v/>
      </c>
      <c r="AR9" s="59">
        <f>IF(COUNT(K9,V9,AG9)=0,"",AVERAGE(K9,V9,AG9))</f>
        <v/>
      </c>
      <c r="AS9" s="59">
        <f>IF(COUNT(L9,W9,AH9)=0,"",AVERAGE(L9,W9,AH9))</f>
        <v/>
      </c>
      <c r="AT9" s="59">
        <f>IF(COUNT(M9,X9,AI9)=0,"",AVERAGE(M9,X9,AI9))</f>
        <v/>
      </c>
      <c r="AU9" s="59">
        <f>IF(COUNT(N9,Y9,AJ9)=0,"",AVERAGE(N9,Y9,AJ9))</f>
        <v/>
      </c>
      <c r="AV9" s="59">
        <f>IF(COUNT(O9,Z9,AK9)=0,"",AVERAGE(O9,Z9,AK9))</f>
        <v/>
      </c>
      <c r="AW9" s="59">
        <f>IF(COUNT(P9,AA9,AL9)=0,"",AVERAGE(P9,AA9,AL9))</f>
        <v/>
      </c>
      <c r="AX9" s="59">
        <f>IF(COUNT(Q9,AB9,AM9)=0,"",AVERAGE(Q9,AB9,AM9))</f>
        <v/>
      </c>
      <c r="AY9" s="60">
        <f>IF(OR($F9="",COUNT(R9,AC9,AN9)=0),"",AVERAGE(R9,AC9,AN9))</f>
        <v/>
      </c>
      <c r="AZ9" s="60">
        <f>IF(OR($G9="",$G9=$F9,COUNT(S9,AD9,AO9)=0),"",AVERAGE(S9,AD9,AO9))</f>
        <v/>
      </c>
      <c r="BA9" s="61">
        <f>IF(COUNT(AP9:AX9)=0,"",SUM(AP9:AX9))</f>
        <v/>
      </c>
      <c r="BB9" s="62">
        <f>IF(BA9="","",BA9/BA$6)</f>
        <v/>
      </c>
      <c r="BC9" s="14">
        <f>IF(BR9="","",COUNTIF($BR$7:$BR$16,"&gt;"&amp;BR9)+COUNTIF($BR$7:BR9,BR9))</f>
        <v/>
      </c>
      <c r="BD9" s="63">
        <f>IF(BC9="","",IF(BC9&lt;=Mapping!$C$11,"Shortlisted","Not shortlisted"))</f>
        <v/>
      </c>
      <c r="BE9" s="64">
        <f>IFERROR((AP9/AP$6*Mapping!$D$15+AQ9/AQ$6*Mapping!$D$16+AR9/AR$6*Mapping!$D$17+AS9/AS$6*Mapping!$D$18+AT9/AT$6*Mapping!$D$19+AU9/AU$6*Mapping!$D$20+AV9/AV$6*Mapping!$D$21+AW9/AW$6*Mapping!$D$22+AX9/AX$6*Mapping!$D$23)/SUM(Mapping!$D$15:$D$23),"")</f>
        <v/>
      </c>
      <c r="BF9" s="64">
        <f>IFERROR((AP9/AP$6*Mapping!$E$15+AQ9/AQ$6*Mapping!$E$16+AR9/AR$6*Mapping!$E$17+AS9/AS$6*Mapping!$E$18+AT9/AT$6*Mapping!$E$19+AU9/AU$6*Mapping!$E$20+AV9/AV$6*Mapping!$E$21+AW9/AW$6*Mapping!$E$22+AX9/AX$6*Mapping!$E$23)/SUM(Mapping!$E$15:$E$23),"")</f>
        <v/>
      </c>
      <c r="BG9" s="64">
        <f>IFERROR((AP9/AP$6*Mapping!$F$15+AQ9/AQ$6*Mapping!$F$16+AR9/AR$6*Mapping!$F$17+AS9/AS$6*Mapping!$F$18+AT9/AT$6*Mapping!$F$19+AU9/AU$6*Mapping!$F$20+AV9/AV$6*Mapping!$F$21+AW9/AW$6*Mapping!$F$22+AX9/AX$6*Mapping!$F$23)/SUM(Mapping!$F$15:$F$23),"")</f>
        <v/>
      </c>
      <c r="BH9" s="64">
        <f>IFERROR((AP9/AP$6*Mapping!$G$15+AQ9/AQ$6*Mapping!$G$16+AR9/AR$6*Mapping!$G$17+AS9/AS$6*Mapping!$G$18+AT9/AT$6*Mapping!$G$19+AU9/AU$6*Mapping!$G$20+AV9/AV$6*Mapping!$G$21+AW9/AW$6*Mapping!$G$22+AX9/AX$6*Mapping!$G$23)/SUM(Mapping!$G$15:$G$23),"")</f>
        <v/>
      </c>
      <c r="BI9" s="64">
        <f>IFERROR((AP9/AP$6*Mapping!$H$15+AQ9/AQ$6*Mapping!$H$16+AR9/AR$6*Mapping!$H$17+AS9/AS$6*Mapping!$H$18+AT9/AT$6*Mapping!$H$19+AU9/AU$6*Mapping!$H$20+AV9/AV$6*Mapping!$H$21+AW9/AW$6*Mapping!$H$22+AX9/AX$6*Mapping!$H$23)/SUM(Mapping!$H$15:$H$23),"")</f>
        <v/>
      </c>
      <c r="BJ9" s="64">
        <f>IFERROR((AP9/AP$6*Mapping!$I$15+AQ9/AQ$6*Mapping!$I$16+AR9/AR$6*Mapping!$I$17+AS9/AS$6*Mapping!$I$18+AT9/AT$6*Mapping!$I$19+AU9/AU$6*Mapping!$I$20+AV9/AV$6*Mapping!$I$21+AW9/AW$6*Mapping!$I$22+AX9/AX$6*Mapping!$I$23)/SUM(Mapping!$I$15:$I$23),"")</f>
        <v/>
      </c>
      <c r="BK9" s="64">
        <f>IFERROR((AP9/AP$6*Mapping!$J$15+AQ9/AQ$6*Mapping!$J$16+AR9/AR$6*Mapping!$J$17+AS9/AS$6*Mapping!$J$18+AT9/AT$6*Mapping!$J$19+AU9/AU$6*Mapping!$J$20+AV9/AV$6*Mapping!$J$21+AW9/AW$6*Mapping!$J$22+AX9/AX$6*Mapping!$J$23)/SUM(Mapping!$J$15:$J$23),"")</f>
        <v/>
      </c>
      <c r="BL9" s="64">
        <f>IFERROR((AP9/AP$6*Mapping!$K$15+AQ9/AQ$6*Mapping!$K$16+AR9/AR$6*Mapping!$K$17+AS9/AS$6*Mapping!$K$18+AT9/AT$6*Mapping!$K$19+AU9/AU$6*Mapping!$K$20+AV9/AV$6*Mapping!$K$21+AW9/AW$6*Mapping!$K$22+AX9/AX$6*Mapping!$K$23)/SUM(Mapping!$K$15:$K$23),"")</f>
        <v/>
      </c>
      <c r="BM9" s="64">
        <f>IFERROR((AP9/AP$6*Mapping!$L$15+AQ9/AQ$6*Mapping!$L$16+AR9/AR$6*Mapping!$L$17+AS9/AS$6*Mapping!$L$18+AT9/AT$6*Mapping!$L$19+AU9/AU$6*Mapping!$L$20+AV9/AV$6*Mapping!$L$21+AW9/AW$6*Mapping!$L$22+AX9/AX$6*Mapping!$L$23)/SUM(Mapping!$L$15:$L$23),"")</f>
        <v/>
      </c>
      <c r="BN9" s="64">
        <f>IFERROR((AP9/AP$6*Mapping!$M$15+AQ9/AQ$6*Mapping!$M$16+AR9/AR$6*Mapping!$M$17+AS9/AS$6*Mapping!$M$18+AT9/AT$6*Mapping!$M$19+AU9/AU$6*Mapping!$M$20+AV9/AV$6*Mapping!$M$21+AW9/AW$6*Mapping!$M$22+AX9/AX$6*Mapping!$M$23)/SUM(Mapping!$M$15:$M$23),"")</f>
        <v/>
      </c>
      <c r="BO9" s="64">
        <f>IFERROR((AP9/AP$6*Mapping!$N$15+AQ9/AQ$6*Mapping!$N$16+AR9/AR$6*Mapping!$N$17+AS9/AS$6*Mapping!$N$18+AT9/AT$6*Mapping!$N$19+AU9/AU$6*Mapping!$N$20+AV9/AV$6*Mapping!$N$21+AW9/AW$6*Mapping!$N$22+AX9/AX$6*Mapping!$N$23)/SUM(Mapping!$N$15:$N$23),"")</f>
        <v/>
      </c>
      <c r="BP9" s="64">
        <f>IFERROR((AP9/AP$6*Mapping!$O$15+AQ9/AQ$6*Mapping!$O$16+AR9/AR$6*Mapping!$O$17+AS9/AS$6*Mapping!$O$18+AT9/AT$6*Mapping!$O$19+AU9/AU$6*Mapping!$O$20+AV9/AV$6*Mapping!$O$21+AW9/AW$6*Mapping!$O$22+AX9/AX$6*Mapping!$O$23)/SUM(Mapping!$O$15:$O$23),"")</f>
        <v/>
      </c>
      <c r="BQ9" s="64">
        <f>IFERROR((AP9/AP$6*Mapping!$P$15+AQ9/AQ$6*Mapping!$P$16+AR9/AR$6*Mapping!$P$17+AS9/AS$6*Mapping!$P$18+AT9/AT$6*Mapping!$P$19+AU9/AU$6*Mapping!$P$20+AV9/AV$6*Mapping!$P$21+AW9/AW$6*Mapping!$P$22+AX9/AX$6*Mapping!$P$23)/SUM(Mapping!$P$15:$P$23),"")</f>
        <v/>
      </c>
      <c r="BR9" s="65">
        <f>IF(BA9="","",BA9+N(AS9)/10000)</f>
        <v/>
      </c>
    </row>
    <row r="10" ht="30" customHeight="1">
      <c r="A10" s="28" t="n">
        <v>4</v>
      </c>
      <c r="B10" s="29" t="inlineStr">
        <is>
          <t>3rd Sem - A</t>
        </is>
      </c>
      <c r="C10" s="29">
        <f>IFERROR(INDEX('3A Intra'!$C$7:$C$26,MATCH(4,'3A Intra'!$BC$7:$BC$26,0))&amp;"","")</f>
        <v/>
      </c>
      <c r="D10" s="6">
        <f>IFERROR(INDEX('3A Intra'!$D$7:$D$26,MATCH(4,'3A Intra'!$BC$7:$BC$26,0))&amp;"","")</f>
        <v/>
      </c>
      <c r="E10" s="6">
        <f>IFERROR(INDEX('3A Intra'!$E$7:$E$26,MATCH(4,'3A Intra'!$BC$7:$BC$26,0))&amp;"","")</f>
        <v/>
      </c>
      <c r="F10" s="29">
        <f>IFERROR(INDEX('3A Intra'!$F$7:$F$26,MATCH(4,'3A Intra'!$BC$7:$BC$26,0))&amp;"","")</f>
        <v/>
      </c>
      <c r="G10" s="29">
        <f>IFERROR(INDEX('3A Intra'!$G$7:$G$26,MATCH(4,'3A Intra'!$BC$7:$BC$26,0))&amp;"","")</f>
        <v/>
      </c>
      <c r="H10" s="6">
        <f>IFERROR(INDEX('3A Intra'!$H$7:$H$26,MATCH(4,'3A Intra'!$BC$7:$BC$26,0))&amp;"","")</f>
        <v/>
      </c>
      <c r="I10" s="29" t="n"/>
      <c r="J10" s="29" t="n"/>
      <c r="K10" s="29" t="n"/>
      <c r="L10" s="29" t="n"/>
      <c r="M10" s="29" t="n"/>
      <c r="N10" s="29" t="n"/>
      <c r="O10" s="29" t="n"/>
      <c r="P10" s="29" t="n"/>
      <c r="Q10" s="29" t="n"/>
      <c r="R10" s="29" t="n"/>
      <c r="S10" s="29" t="n"/>
      <c r="T10" s="29" t="n"/>
      <c r="U10" s="29" t="n"/>
      <c r="V10" s="29" t="n"/>
      <c r="W10" s="29" t="n"/>
      <c r="X10" s="29" t="n"/>
      <c r="Y10" s="29" t="n"/>
      <c r="Z10" s="29" t="n"/>
      <c r="AA10" s="29" t="n"/>
      <c r="AB10" s="29" t="n"/>
      <c r="AC10" s="29" t="n"/>
      <c r="AD10" s="29" t="n"/>
      <c r="AE10" s="29" t="n"/>
      <c r="AF10" s="29" t="n"/>
      <c r="AG10" s="29" t="n"/>
      <c r="AH10" s="29" t="n"/>
      <c r="AI10" s="29" t="n"/>
      <c r="AJ10" s="29" t="n"/>
      <c r="AK10" s="29" t="n"/>
      <c r="AL10" s="29" t="n"/>
      <c r="AM10" s="29" t="n"/>
      <c r="AN10" s="29" t="n"/>
      <c r="AO10" s="29" t="n"/>
      <c r="AP10" s="59">
        <f>IF(COUNT(I10,T10,AE10)=0,"",AVERAGE(I10,T10,AE10))</f>
        <v/>
      </c>
      <c r="AQ10" s="59">
        <f>IF(COUNT(J10,U10,AF10)=0,"",AVERAGE(J10,U10,AF10))</f>
        <v/>
      </c>
      <c r="AR10" s="59">
        <f>IF(COUNT(K10,V10,AG10)=0,"",AVERAGE(K10,V10,AG10))</f>
        <v/>
      </c>
      <c r="AS10" s="59">
        <f>IF(COUNT(L10,W10,AH10)=0,"",AVERAGE(L10,W10,AH10))</f>
        <v/>
      </c>
      <c r="AT10" s="59">
        <f>IF(COUNT(M10,X10,AI10)=0,"",AVERAGE(M10,X10,AI10))</f>
        <v/>
      </c>
      <c r="AU10" s="59">
        <f>IF(COUNT(N10,Y10,AJ10)=0,"",AVERAGE(N10,Y10,AJ10))</f>
        <v/>
      </c>
      <c r="AV10" s="59">
        <f>IF(COUNT(O10,Z10,AK10)=0,"",AVERAGE(O10,Z10,AK10))</f>
        <v/>
      </c>
      <c r="AW10" s="59">
        <f>IF(COUNT(P10,AA10,AL10)=0,"",AVERAGE(P10,AA10,AL10))</f>
        <v/>
      </c>
      <c r="AX10" s="59">
        <f>IF(COUNT(Q10,AB10,AM10)=0,"",AVERAGE(Q10,AB10,AM10))</f>
        <v/>
      </c>
      <c r="AY10" s="60">
        <f>IF(OR($F10="",COUNT(R10,AC10,AN10)=0),"",AVERAGE(R10,AC10,AN10))</f>
        <v/>
      </c>
      <c r="AZ10" s="60">
        <f>IF(OR($G10="",$G10=$F10,COUNT(S10,AD10,AO10)=0),"",AVERAGE(S10,AD10,AO10))</f>
        <v/>
      </c>
      <c r="BA10" s="61">
        <f>IF(COUNT(AP10:AX10)=0,"",SUM(AP10:AX10))</f>
        <v/>
      </c>
      <c r="BB10" s="62">
        <f>IF(BA10="","",BA10/BA$6)</f>
        <v/>
      </c>
      <c r="BC10" s="14">
        <f>IF(BR10="","",COUNTIF($BR$7:$BR$16,"&gt;"&amp;BR10)+COUNTIF($BR$7:BR10,BR10))</f>
        <v/>
      </c>
      <c r="BD10" s="63">
        <f>IF(BC10="","",IF(BC10&lt;=Mapping!$C$11,"Shortlisted","Not shortlisted"))</f>
        <v/>
      </c>
      <c r="BE10" s="64">
        <f>IFERROR((AP10/AP$6*Mapping!$D$15+AQ10/AQ$6*Mapping!$D$16+AR10/AR$6*Mapping!$D$17+AS10/AS$6*Mapping!$D$18+AT10/AT$6*Mapping!$D$19+AU10/AU$6*Mapping!$D$20+AV10/AV$6*Mapping!$D$21+AW10/AW$6*Mapping!$D$22+AX10/AX$6*Mapping!$D$23)/SUM(Mapping!$D$15:$D$23),"")</f>
        <v/>
      </c>
      <c r="BF10" s="64">
        <f>IFERROR((AP10/AP$6*Mapping!$E$15+AQ10/AQ$6*Mapping!$E$16+AR10/AR$6*Mapping!$E$17+AS10/AS$6*Mapping!$E$18+AT10/AT$6*Mapping!$E$19+AU10/AU$6*Mapping!$E$20+AV10/AV$6*Mapping!$E$21+AW10/AW$6*Mapping!$E$22+AX10/AX$6*Mapping!$E$23)/SUM(Mapping!$E$15:$E$23),"")</f>
        <v/>
      </c>
      <c r="BG10" s="64">
        <f>IFERROR((AP10/AP$6*Mapping!$F$15+AQ10/AQ$6*Mapping!$F$16+AR10/AR$6*Mapping!$F$17+AS10/AS$6*Mapping!$F$18+AT10/AT$6*Mapping!$F$19+AU10/AU$6*Mapping!$F$20+AV10/AV$6*Mapping!$F$21+AW10/AW$6*Mapping!$F$22+AX10/AX$6*Mapping!$F$23)/SUM(Mapping!$F$15:$F$23),"")</f>
        <v/>
      </c>
      <c r="BH10" s="64">
        <f>IFERROR((AP10/AP$6*Mapping!$G$15+AQ10/AQ$6*Mapping!$G$16+AR10/AR$6*Mapping!$G$17+AS10/AS$6*Mapping!$G$18+AT10/AT$6*Mapping!$G$19+AU10/AU$6*Mapping!$G$20+AV10/AV$6*Mapping!$G$21+AW10/AW$6*Mapping!$G$22+AX10/AX$6*Mapping!$G$23)/SUM(Mapping!$G$15:$G$23),"")</f>
        <v/>
      </c>
      <c r="BI10" s="64">
        <f>IFERROR((AP10/AP$6*Mapping!$H$15+AQ10/AQ$6*Mapping!$H$16+AR10/AR$6*Mapping!$H$17+AS10/AS$6*Mapping!$H$18+AT10/AT$6*Mapping!$H$19+AU10/AU$6*Mapping!$H$20+AV10/AV$6*Mapping!$H$21+AW10/AW$6*Mapping!$H$22+AX10/AX$6*Mapping!$H$23)/SUM(Mapping!$H$15:$H$23),"")</f>
        <v/>
      </c>
      <c r="BJ10" s="64">
        <f>IFERROR((AP10/AP$6*Mapping!$I$15+AQ10/AQ$6*Mapping!$I$16+AR10/AR$6*Mapping!$I$17+AS10/AS$6*Mapping!$I$18+AT10/AT$6*Mapping!$I$19+AU10/AU$6*Mapping!$I$20+AV10/AV$6*Mapping!$I$21+AW10/AW$6*Mapping!$I$22+AX10/AX$6*Mapping!$I$23)/SUM(Mapping!$I$15:$I$23),"")</f>
        <v/>
      </c>
      <c r="BK10" s="64">
        <f>IFERROR((AP10/AP$6*Mapping!$J$15+AQ10/AQ$6*Mapping!$J$16+AR10/AR$6*Mapping!$J$17+AS10/AS$6*Mapping!$J$18+AT10/AT$6*Mapping!$J$19+AU10/AU$6*Mapping!$J$20+AV10/AV$6*Mapping!$J$21+AW10/AW$6*Mapping!$J$22+AX10/AX$6*Mapping!$J$23)/SUM(Mapping!$J$15:$J$23),"")</f>
        <v/>
      </c>
      <c r="BL10" s="64">
        <f>IFERROR((AP10/AP$6*Mapping!$K$15+AQ10/AQ$6*Mapping!$K$16+AR10/AR$6*Mapping!$K$17+AS10/AS$6*Mapping!$K$18+AT10/AT$6*Mapping!$K$19+AU10/AU$6*Mapping!$K$20+AV10/AV$6*Mapping!$K$21+AW10/AW$6*Mapping!$K$22+AX10/AX$6*Mapping!$K$23)/SUM(Mapping!$K$15:$K$23),"")</f>
        <v/>
      </c>
      <c r="BM10" s="64">
        <f>IFERROR((AP10/AP$6*Mapping!$L$15+AQ10/AQ$6*Mapping!$L$16+AR10/AR$6*Mapping!$L$17+AS10/AS$6*Mapping!$L$18+AT10/AT$6*Mapping!$L$19+AU10/AU$6*Mapping!$L$20+AV10/AV$6*Mapping!$L$21+AW10/AW$6*Mapping!$L$22+AX10/AX$6*Mapping!$L$23)/SUM(Mapping!$L$15:$L$23),"")</f>
        <v/>
      </c>
      <c r="BN10" s="64">
        <f>IFERROR((AP10/AP$6*Mapping!$M$15+AQ10/AQ$6*Mapping!$M$16+AR10/AR$6*Mapping!$M$17+AS10/AS$6*Mapping!$M$18+AT10/AT$6*Mapping!$M$19+AU10/AU$6*Mapping!$M$20+AV10/AV$6*Mapping!$M$21+AW10/AW$6*Mapping!$M$22+AX10/AX$6*Mapping!$M$23)/SUM(Mapping!$M$15:$M$23),"")</f>
        <v/>
      </c>
      <c r="BO10" s="64">
        <f>IFERROR((AP10/AP$6*Mapping!$N$15+AQ10/AQ$6*Mapping!$N$16+AR10/AR$6*Mapping!$N$17+AS10/AS$6*Mapping!$N$18+AT10/AT$6*Mapping!$N$19+AU10/AU$6*Mapping!$N$20+AV10/AV$6*Mapping!$N$21+AW10/AW$6*Mapping!$N$22+AX10/AX$6*Mapping!$N$23)/SUM(Mapping!$N$15:$N$23),"")</f>
        <v/>
      </c>
      <c r="BP10" s="64">
        <f>IFERROR((AP10/AP$6*Mapping!$O$15+AQ10/AQ$6*Mapping!$O$16+AR10/AR$6*Mapping!$O$17+AS10/AS$6*Mapping!$O$18+AT10/AT$6*Mapping!$O$19+AU10/AU$6*Mapping!$O$20+AV10/AV$6*Mapping!$O$21+AW10/AW$6*Mapping!$O$22+AX10/AX$6*Mapping!$O$23)/SUM(Mapping!$O$15:$O$23),"")</f>
        <v/>
      </c>
      <c r="BQ10" s="64">
        <f>IFERROR((AP10/AP$6*Mapping!$P$15+AQ10/AQ$6*Mapping!$P$16+AR10/AR$6*Mapping!$P$17+AS10/AS$6*Mapping!$P$18+AT10/AT$6*Mapping!$P$19+AU10/AU$6*Mapping!$P$20+AV10/AV$6*Mapping!$P$21+AW10/AW$6*Mapping!$P$22+AX10/AX$6*Mapping!$P$23)/SUM(Mapping!$P$15:$P$23),"")</f>
        <v/>
      </c>
      <c r="BR10" s="65">
        <f>IF(BA10="","",BA10+N(AS10)/10000)</f>
        <v/>
      </c>
    </row>
    <row r="11" ht="30" customHeight="1">
      <c r="A11" s="28" t="n">
        <v>5</v>
      </c>
      <c r="B11" s="29" t="inlineStr">
        <is>
          <t>3rd Sem - A</t>
        </is>
      </c>
      <c r="C11" s="29">
        <f>IFERROR(INDEX('3A Intra'!$C$7:$C$26,MATCH(5,'3A Intra'!$BC$7:$BC$26,0))&amp;"","")</f>
        <v/>
      </c>
      <c r="D11" s="6">
        <f>IFERROR(INDEX('3A Intra'!$D$7:$D$26,MATCH(5,'3A Intra'!$BC$7:$BC$26,0))&amp;"","")</f>
        <v/>
      </c>
      <c r="E11" s="6">
        <f>IFERROR(INDEX('3A Intra'!$E$7:$E$26,MATCH(5,'3A Intra'!$BC$7:$BC$26,0))&amp;"","")</f>
        <v/>
      </c>
      <c r="F11" s="29">
        <f>IFERROR(INDEX('3A Intra'!$F$7:$F$26,MATCH(5,'3A Intra'!$BC$7:$BC$26,0))&amp;"","")</f>
        <v/>
      </c>
      <c r="G11" s="29">
        <f>IFERROR(INDEX('3A Intra'!$G$7:$G$26,MATCH(5,'3A Intra'!$BC$7:$BC$26,0))&amp;"","")</f>
        <v/>
      </c>
      <c r="H11" s="6">
        <f>IFERROR(INDEX('3A Intra'!$H$7:$H$26,MATCH(5,'3A Intra'!$BC$7:$BC$26,0))&amp;"","")</f>
        <v/>
      </c>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59">
        <f>IF(COUNT(I11,T11,AE11)=0,"",AVERAGE(I11,T11,AE11))</f>
        <v/>
      </c>
      <c r="AQ11" s="59">
        <f>IF(COUNT(J11,U11,AF11)=0,"",AVERAGE(J11,U11,AF11))</f>
        <v/>
      </c>
      <c r="AR11" s="59">
        <f>IF(COUNT(K11,V11,AG11)=0,"",AVERAGE(K11,V11,AG11))</f>
        <v/>
      </c>
      <c r="AS11" s="59">
        <f>IF(COUNT(L11,W11,AH11)=0,"",AVERAGE(L11,W11,AH11))</f>
        <v/>
      </c>
      <c r="AT11" s="59">
        <f>IF(COUNT(M11,X11,AI11)=0,"",AVERAGE(M11,X11,AI11))</f>
        <v/>
      </c>
      <c r="AU11" s="59">
        <f>IF(COUNT(N11,Y11,AJ11)=0,"",AVERAGE(N11,Y11,AJ11))</f>
        <v/>
      </c>
      <c r="AV11" s="59">
        <f>IF(COUNT(O11,Z11,AK11)=0,"",AVERAGE(O11,Z11,AK11))</f>
        <v/>
      </c>
      <c r="AW11" s="59">
        <f>IF(COUNT(P11,AA11,AL11)=0,"",AVERAGE(P11,AA11,AL11))</f>
        <v/>
      </c>
      <c r="AX11" s="59">
        <f>IF(COUNT(Q11,AB11,AM11)=0,"",AVERAGE(Q11,AB11,AM11))</f>
        <v/>
      </c>
      <c r="AY11" s="60">
        <f>IF(OR($F11="",COUNT(R11,AC11,AN11)=0),"",AVERAGE(R11,AC11,AN11))</f>
        <v/>
      </c>
      <c r="AZ11" s="60">
        <f>IF(OR($G11="",$G11=$F11,COUNT(S11,AD11,AO11)=0),"",AVERAGE(S11,AD11,AO11))</f>
        <v/>
      </c>
      <c r="BA11" s="61">
        <f>IF(COUNT(AP11:AX11)=0,"",SUM(AP11:AX11))</f>
        <v/>
      </c>
      <c r="BB11" s="62">
        <f>IF(BA11="","",BA11/BA$6)</f>
        <v/>
      </c>
      <c r="BC11" s="14">
        <f>IF(BR11="","",COUNTIF($BR$7:$BR$16,"&gt;"&amp;BR11)+COUNTIF($BR$7:BR11,BR11))</f>
        <v/>
      </c>
      <c r="BD11" s="63">
        <f>IF(BC11="","",IF(BC11&lt;=Mapping!$C$11,"Shortlisted","Not shortlisted"))</f>
        <v/>
      </c>
      <c r="BE11" s="64">
        <f>IFERROR((AP11/AP$6*Mapping!$D$15+AQ11/AQ$6*Mapping!$D$16+AR11/AR$6*Mapping!$D$17+AS11/AS$6*Mapping!$D$18+AT11/AT$6*Mapping!$D$19+AU11/AU$6*Mapping!$D$20+AV11/AV$6*Mapping!$D$21+AW11/AW$6*Mapping!$D$22+AX11/AX$6*Mapping!$D$23)/SUM(Mapping!$D$15:$D$23),"")</f>
        <v/>
      </c>
      <c r="BF11" s="64">
        <f>IFERROR((AP11/AP$6*Mapping!$E$15+AQ11/AQ$6*Mapping!$E$16+AR11/AR$6*Mapping!$E$17+AS11/AS$6*Mapping!$E$18+AT11/AT$6*Mapping!$E$19+AU11/AU$6*Mapping!$E$20+AV11/AV$6*Mapping!$E$21+AW11/AW$6*Mapping!$E$22+AX11/AX$6*Mapping!$E$23)/SUM(Mapping!$E$15:$E$23),"")</f>
        <v/>
      </c>
      <c r="BG11" s="64">
        <f>IFERROR((AP11/AP$6*Mapping!$F$15+AQ11/AQ$6*Mapping!$F$16+AR11/AR$6*Mapping!$F$17+AS11/AS$6*Mapping!$F$18+AT11/AT$6*Mapping!$F$19+AU11/AU$6*Mapping!$F$20+AV11/AV$6*Mapping!$F$21+AW11/AW$6*Mapping!$F$22+AX11/AX$6*Mapping!$F$23)/SUM(Mapping!$F$15:$F$23),"")</f>
        <v/>
      </c>
      <c r="BH11" s="64">
        <f>IFERROR((AP11/AP$6*Mapping!$G$15+AQ11/AQ$6*Mapping!$G$16+AR11/AR$6*Mapping!$G$17+AS11/AS$6*Mapping!$G$18+AT11/AT$6*Mapping!$G$19+AU11/AU$6*Mapping!$G$20+AV11/AV$6*Mapping!$G$21+AW11/AW$6*Mapping!$G$22+AX11/AX$6*Mapping!$G$23)/SUM(Mapping!$G$15:$G$23),"")</f>
        <v/>
      </c>
      <c r="BI11" s="64">
        <f>IFERROR((AP11/AP$6*Mapping!$H$15+AQ11/AQ$6*Mapping!$H$16+AR11/AR$6*Mapping!$H$17+AS11/AS$6*Mapping!$H$18+AT11/AT$6*Mapping!$H$19+AU11/AU$6*Mapping!$H$20+AV11/AV$6*Mapping!$H$21+AW11/AW$6*Mapping!$H$22+AX11/AX$6*Mapping!$H$23)/SUM(Mapping!$H$15:$H$23),"")</f>
        <v/>
      </c>
      <c r="BJ11" s="64">
        <f>IFERROR((AP11/AP$6*Mapping!$I$15+AQ11/AQ$6*Mapping!$I$16+AR11/AR$6*Mapping!$I$17+AS11/AS$6*Mapping!$I$18+AT11/AT$6*Mapping!$I$19+AU11/AU$6*Mapping!$I$20+AV11/AV$6*Mapping!$I$21+AW11/AW$6*Mapping!$I$22+AX11/AX$6*Mapping!$I$23)/SUM(Mapping!$I$15:$I$23),"")</f>
        <v/>
      </c>
      <c r="BK11" s="64">
        <f>IFERROR((AP11/AP$6*Mapping!$J$15+AQ11/AQ$6*Mapping!$J$16+AR11/AR$6*Mapping!$J$17+AS11/AS$6*Mapping!$J$18+AT11/AT$6*Mapping!$J$19+AU11/AU$6*Mapping!$J$20+AV11/AV$6*Mapping!$J$21+AW11/AW$6*Mapping!$J$22+AX11/AX$6*Mapping!$J$23)/SUM(Mapping!$J$15:$J$23),"")</f>
        <v/>
      </c>
      <c r="BL11" s="64">
        <f>IFERROR((AP11/AP$6*Mapping!$K$15+AQ11/AQ$6*Mapping!$K$16+AR11/AR$6*Mapping!$K$17+AS11/AS$6*Mapping!$K$18+AT11/AT$6*Mapping!$K$19+AU11/AU$6*Mapping!$K$20+AV11/AV$6*Mapping!$K$21+AW11/AW$6*Mapping!$K$22+AX11/AX$6*Mapping!$K$23)/SUM(Mapping!$K$15:$K$23),"")</f>
        <v/>
      </c>
      <c r="BM11" s="64">
        <f>IFERROR((AP11/AP$6*Mapping!$L$15+AQ11/AQ$6*Mapping!$L$16+AR11/AR$6*Mapping!$L$17+AS11/AS$6*Mapping!$L$18+AT11/AT$6*Mapping!$L$19+AU11/AU$6*Mapping!$L$20+AV11/AV$6*Mapping!$L$21+AW11/AW$6*Mapping!$L$22+AX11/AX$6*Mapping!$L$23)/SUM(Mapping!$L$15:$L$23),"")</f>
        <v/>
      </c>
      <c r="BN11" s="64">
        <f>IFERROR((AP11/AP$6*Mapping!$M$15+AQ11/AQ$6*Mapping!$M$16+AR11/AR$6*Mapping!$M$17+AS11/AS$6*Mapping!$M$18+AT11/AT$6*Mapping!$M$19+AU11/AU$6*Mapping!$M$20+AV11/AV$6*Mapping!$M$21+AW11/AW$6*Mapping!$M$22+AX11/AX$6*Mapping!$M$23)/SUM(Mapping!$M$15:$M$23),"")</f>
        <v/>
      </c>
      <c r="BO11" s="64">
        <f>IFERROR((AP11/AP$6*Mapping!$N$15+AQ11/AQ$6*Mapping!$N$16+AR11/AR$6*Mapping!$N$17+AS11/AS$6*Mapping!$N$18+AT11/AT$6*Mapping!$N$19+AU11/AU$6*Mapping!$N$20+AV11/AV$6*Mapping!$N$21+AW11/AW$6*Mapping!$N$22+AX11/AX$6*Mapping!$N$23)/SUM(Mapping!$N$15:$N$23),"")</f>
        <v/>
      </c>
      <c r="BP11" s="64">
        <f>IFERROR((AP11/AP$6*Mapping!$O$15+AQ11/AQ$6*Mapping!$O$16+AR11/AR$6*Mapping!$O$17+AS11/AS$6*Mapping!$O$18+AT11/AT$6*Mapping!$O$19+AU11/AU$6*Mapping!$O$20+AV11/AV$6*Mapping!$O$21+AW11/AW$6*Mapping!$O$22+AX11/AX$6*Mapping!$O$23)/SUM(Mapping!$O$15:$O$23),"")</f>
        <v/>
      </c>
      <c r="BQ11" s="64">
        <f>IFERROR((AP11/AP$6*Mapping!$P$15+AQ11/AQ$6*Mapping!$P$16+AR11/AR$6*Mapping!$P$17+AS11/AS$6*Mapping!$P$18+AT11/AT$6*Mapping!$P$19+AU11/AU$6*Mapping!$P$20+AV11/AV$6*Mapping!$P$21+AW11/AW$6*Mapping!$P$22+AX11/AX$6*Mapping!$P$23)/SUM(Mapping!$P$15:$P$23),"")</f>
        <v/>
      </c>
      <c r="BR11" s="65">
        <f>IF(BA11="","",BA11+N(AS11)/10000)</f>
        <v/>
      </c>
    </row>
    <row r="12" ht="30" customHeight="1">
      <c r="A12" s="28" t="n">
        <v>6</v>
      </c>
      <c r="B12" s="29" t="inlineStr">
        <is>
          <t>3rd Sem - B</t>
        </is>
      </c>
      <c r="C12" s="29">
        <f>IFERROR(INDEX('3B Intra'!$C$7:$C$26,MATCH(1,'3B Intra'!$BC$7:$BC$26,0))&amp;"","")</f>
        <v/>
      </c>
      <c r="D12" s="6">
        <f>IFERROR(INDEX('3B Intra'!$D$7:$D$26,MATCH(1,'3B Intra'!$BC$7:$BC$26,0))&amp;"","")</f>
        <v/>
      </c>
      <c r="E12" s="6">
        <f>IFERROR(INDEX('3B Intra'!$E$7:$E$26,MATCH(1,'3B Intra'!$BC$7:$BC$26,0))&amp;"","")</f>
        <v/>
      </c>
      <c r="F12" s="29">
        <f>IFERROR(INDEX('3B Intra'!$F$7:$F$26,MATCH(1,'3B Intra'!$BC$7:$BC$26,0))&amp;"","")</f>
        <v/>
      </c>
      <c r="G12" s="29">
        <f>IFERROR(INDEX('3B Intra'!$G$7:$G$26,MATCH(1,'3B Intra'!$BC$7:$BC$26,0))&amp;"","")</f>
        <v/>
      </c>
      <c r="H12" s="6">
        <f>IFERROR(INDEX('3B Intra'!$H$7:$H$26,MATCH(1,'3B Intra'!$BC$7:$BC$26,0))&amp;"","")</f>
        <v/>
      </c>
      <c r="I12" s="29" t="n"/>
      <c r="J12" s="29" t="n"/>
      <c r="K12" s="29" t="n"/>
      <c r="L12" s="29" t="n"/>
      <c r="M12" s="29" t="n"/>
      <c r="N12" s="29" t="n"/>
      <c r="O12" s="29" t="n"/>
      <c r="P12" s="29" t="n"/>
      <c r="Q12" s="29" t="n"/>
      <c r="R12" s="29" t="n"/>
      <c r="S12" s="29" t="n"/>
      <c r="T12" s="29" t="n"/>
      <c r="U12" s="29" t="n"/>
      <c r="V12" s="29" t="n"/>
      <c r="W12" s="29" t="n"/>
      <c r="X12" s="29" t="n"/>
      <c r="Y12" s="29" t="n"/>
      <c r="Z12" s="29" t="n"/>
      <c r="AA12" s="29" t="n"/>
      <c r="AB12" s="29" t="n"/>
      <c r="AC12" s="29" t="n"/>
      <c r="AD12" s="29" t="n"/>
      <c r="AE12" s="29" t="n"/>
      <c r="AF12" s="29" t="n"/>
      <c r="AG12" s="29" t="n"/>
      <c r="AH12" s="29" t="n"/>
      <c r="AI12" s="29" t="n"/>
      <c r="AJ12" s="29" t="n"/>
      <c r="AK12" s="29" t="n"/>
      <c r="AL12" s="29" t="n"/>
      <c r="AM12" s="29" t="n"/>
      <c r="AN12" s="29" t="n"/>
      <c r="AO12" s="29" t="n"/>
      <c r="AP12" s="59">
        <f>IF(COUNT(I12,T12,AE12)=0,"",AVERAGE(I12,T12,AE12))</f>
        <v/>
      </c>
      <c r="AQ12" s="59">
        <f>IF(COUNT(J12,U12,AF12)=0,"",AVERAGE(J12,U12,AF12))</f>
        <v/>
      </c>
      <c r="AR12" s="59">
        <f>IF(COUNT(K12,V12,AG12)=0,"",AVERAGE(K12,V12,AG12))</f>
        <v/>
      </c>
      <c r="AS12" s="59">
        <f>IF(COUNT(L12,W12,AH12)=0,"",AVERAGE(L12,W12,AH12))</f>
        <v/>
      </c>
      <c r="AT12" s="59">
        <f>IF(COUNT(M12,X12,AI12)=0,"",AVERAGE(M12,X12,AI12))</f>
        <v/>
      </c>
      <c r="AU12" s="59">
        <f>IF(COUNT(N12,Y12,AJ12)=0,"",AVERAGE(N12,Y12,AJ12))</f>
        <v/>
      </c>
      <c r="AV12" s="59">
        <f>IF(COUNT(O12,Z12,AK12)=0,"",AVERAGE(O12,Z12,AK12))</f>
        <v/>
      </c>
      <c r="AW12" s="59">
        <f>IF(COUNT(P12,AA12,AL12)=0,"",AVERAGE(P12,AA12,AL12))</f>
        <v/>
      </c>
      <c r="AX12" s="59">
        <f>IF(COUNT(Q12,AB12,AM12)=0,"",AVERAGE(Q12,AB12,AM12))</f>
        <v/>
      </c>
      <c r="AY12" s="60">
        <f>IF(OR($F12="",COUNT(R12,AC12,AN12)=0),"",AVERAGE(R12,AC12,AN12))</f>
        <v/>
      </c>
      <c r="AZ12" s="60">
        <f>IF(OR($G12="",$G12=$F12,COUNT(S12,AD12,AO12)=0),"",AVERAGE(S12,AD12,AO12))</f>
        <v/>
      </c>
      <c r="BA12" s="61">
        <f>IF(COUNT(AP12:AX12)=0,"",SUM(AP12:AX12))</f>
        <v/>
      </c>
      <c r="BB12" s="62">
        <f>IF(BA12="","",BA12/BA$6)</f>
        <v/>
      </c>
      <c r="BC12" s="14">
        <f>IF(BR12="","",COUNTIF($BR$7:$BR$16,"&gt;"&amp;BR12)+COUNTIF($BR$7:BR12,BR12))</f>
        <v/>
      </c>
      <c r="BD12" s="63">
        <f>IF(BC12="","",IF(BC12&lt;=Mapping!$C$11,"Shortlisted","Not shortlisted"))</f>
        <v/>
      </c>
      <c r="BE12" s="64">
        <f>IFERROR((AP12/AP$6*Mapping!$D$15+AQ12/AQ$6*Mapping!$D$16+AR12/AR$6*Mapping!$D$17+AS12/AS$6*Mapping!$D$18+AT12/AT$6*Mapping!$D$19+AU12/AU$6*Mapping!$D$20+AV12/AV$6*Mapping!$D$21+AW12/AW$6*Mapping!$D$22+AX12/AX$6*Mapping!$D$23)/SUM(Mapping!$D$15:$D$23),"")</f>
        <v/>
      </c>
      <c r="BF12" s="64">
        <f>IFERROR((AP12/AP$6*Mapping!$E$15+AQ12/AQ$6*Mapping!$E$16+AR12/AR$6*Mapping!$E$17+AS12/AS$6*Mapping!$E$18+AT12/AT$6*Mapping!$E$19+AU12/AU$6*Mapping!$E$20+AV12/AV$6*Mapping!$E$21+AW12/AW$6*Mapping!$E$22+AX12/AX$6*Mapping!$E$23)/SUM(Mapping!$E$15:$E$23),"")</f>
        <v/>
      </c>
      <c r="BG12" s="64">
        <f>IFERROR((AP12/AP$6*Mapping!$F$15+AQ12/AQ$6*Mapping!$F$16+AR12/AR$6*Mapping!$F$17+AS12/AS$6*Mapping!$F$18+AT12/AT$6*Mapping!$F$19+AU12/AU$6*Mapping!$F$20+AV12/AV$6*Mapping!$F$21+AW12/AW$6*Mapping!$F$22+AX12/AX$6*Mapping!$F$23)/SUM(Mapping!$F$15:$F$23),"")</f>
        <v/>
      </c>
      <c r="BH12" s="64">
        <f>IFERROR((AP12/AP$6*Mapping!$G$15+AQ12/AQ$6*Mapping!$G$16+AR12/AR$6*Mapping!$G$17+AS12/AS$6*Mapping!$G$18+AT12/AT$6*Mapping!$G$19+AU12/AU$6*Mapping!$G$20+AV12/AV$6*Mapping!$G$21+AW12/AW$6*Mapping!$G$22+AX12/AX$6*Mapping!$G$23)/SUM(Mapping!$G$15:$G$23),"")</f>
        <v/>
      </c>
      <c r="BI12" s="64">
        <f>IFERROR((AP12/AP$6*Mapping!$H$15+AQ12/AQ$6*Mapping!$H$16+AR12/AR$6*Mapping!$H$17+AS12/AS$6*Mapping!$H$18+AT12/AT$6*Mapping!$H$19+AU12/AU$6*Mapping!$H$20+AV12/AV$6*Mapping!$H$21+AW12/AW$6*Mapping!$H$22+AX12/AX$6*Mapping!$H$23)/SUM(Mapping!$H$15:$H$23),"")</f>
        <v/>
      </c>
      <c r="BJ12" s="64">
        <f>IFERROR((AP12/AP$6*Mapping!$I$15+AQ12/AQ$6*Mapping!$I$16+AR12/AR$6*Mapping!$I$17+AS12/AS$6*Mapping!$I$18+AT12/AT$6*Mapping!$I$19+AU12/AU$6*Mapping!$I$20+AV12/AV$6*Mapping!$I$21+AW12/AW$6*Mapping!$I$22+AX12/AX$6*Mapping!$I$23)/SUM(Mapping!$I$15:$I$23),"")</f>
        <v/>
      </c>
      <c r="BK12" s="64">
        <f>IFERROR((AP12/AP$6*Mapping!$J$15+AQ12/AQ$6*Mapping!$J$16+AR12/AR$6*Mapping!$J$17+AS12/AS$6*Mapping!$J$18+AT12/AT$6*Mapping!$J$19+AU12/AU$6*Mapping!$J$20+AV12/AV$6*Mapping!$J$21+AW12/AW$6*Mapping!$J$22+AX12/AX$6*Mapping!$J$23)/SUM(Mapping!$J$15:$J$23),"")</f>
        <v/>
      </c>
      <c r="BL12" s="64">
        <f>IFERROR((AP12/AP$6*Mapping!$K$15+AQ12/AQ$6*Mapping!$K$16+AR12/AR$6*Mapping!$K$17+AS12/AS$6*Mapping!$K$18+AT12/AT$6*Mapping!$K$19+AU12/AU$6*Mapping!$K$20+AV12/AV$6*Mapping!$K$21+AW12/AW$6*Mapping!$K$22+AX12/AX$6*Mapping!$K$23)/SUM(Mapping!$K$15:$K$23),"")</f>
        <v/>
      </c>
      <c r="BM12" s="64">
        <f>IFERROR((AP12/AP$6*Mapping!$L$15+AQ12/AQ$6*Mapping!$L$16+AR12/AR$6*Mapping!$L$17+AS12/AS$6*Mapping!$L$18+AT12/AT$6*Mapping!$L$19+AU12/AU$6*Mapping!$L$20+AV12/AV$6*Mapping!$L$21+AW12/AW$6*Mapping!$L$22+AX12/AX$6*Mapping!$L$23)/SUM(Mapping!$L$15:$L$23),"")</f>
        <v/>
      </c>
      <c r="BN12" s="64">
        <f>IFERROR((AP12/AP$6*Mapping!$M$15+AQ12/AQ$6*Mapping!$M$16+AR12/AR$6*Mapping!$M$17+AS12/AS$6*Mapping!$M$18+AT12/AT$6*Mapping!$M$19+AU12/AU$6*Mapping!$M$20+AV12/AV$6*Mapping!$M$21+AW12/AW$6*Mapping!$M$22+AX12/AX$6*Mapping!$M$23)/SUM(Mapping!$M$15:$M$23),"")</f>
        <v/>
      </c>
      <c r="BO12" s="64">
        <f>IFERROR((AP12/AP$6*Mapping!$N$15+AQ12/AQ$6*Mapping!$N$16+AR12/AR$6*Mapping!$N$17+AS12/AS$6*Mapping!$N$18+AT12/AT$6*Mapping!$N$19+AU12/AU$6*Mapping!$N$20+AV12/AV$6*Mapping!$N$21+AW12/AW$6*Mapping!$N$22+AX12/AX$6*Mapping!$N$23)/SUM(Mapping!$N$15:$N$23),"")</f>
        <v/>
      </c>
      <c r="BP12" s="64">
        <f>IFERROR((AP12/AP$6*Mapping!$O$15+AQ12/AQ$6*Mapping!$O$16+AR12/AR$6*Mapping!$O$17+AS12/AS$6*Mapping!$O$18+AT12/AT$6*Mapping!$O$19+AU12/AU$6*Mapping!$O$20+AV12/AV$6*Mapping!$O$21+AW12/AW$6*Mapping!$O$22+AX12/AX$6*Mapping!$O$23)/SUM(Mapping!$O$15:$O$23),"")</f>
        <v/>
      </c>
      <c r="BQ12" s="64">
        <f>IFERROR((AP12/AP$6*Mapping!$P$15+AQ12/AQ$6*Mapping!$P$16+AR12/AR$6*Mapping!$P$17+AS12/AS$6*Mapping!$P$18+AT12/AT$6*Mapping!$P$19+AU12/AU$6*Mapping!$P$20+AV12/AV$6*Mapping!$P$21+AW12/AW$6*Mapping!$P$22+AX12/AX$6*Mapping!$P$23)/SUM(Mapping!$P$15:$P$23),"")</f>
        <v/>
      </c>
      <c r="BR12" s="65">
        <f>IF(BA12="","",BA12+N(AS12)/10000)</f>
        <v/>
      </c>
    </row>
    <row r="13" ht="30" customHeight="1">
      <c r="A13" s="28" t="n">
        <v>7</v>
      </c>
      <c r="B13" s="29" t="inlineStr">
        <is>
          <t>3rd Sem - B</t>
        </is>
      </c>
      <c r="C13" s="29">
        <f>IFERROR(INDEX('3B Intra'!$C$7:$C$26,MATCH(2,'3B Intra'!$BC$7:$BC$26,0))&amp;"","")</f>
        <v/>
      </c>
      <c r="D13" s="6">
        <f>IFERROR(INDEX('3B Intra'!$D$7:$D$26,MATCH(2,'3B Intra'!$BC$7:$BC$26,0))&amp;"","")</f>
        <v/>
      </c>
      <c r="E13" s="6">
        <f>IFERROR(INDEX('3B Intra'!$E$7:$E$26,MATCH(2,'3B Intra'!$BC$7:$BC$26,0))&amp;"","")</f>
        <v/>
      </c>
      <c r="F13" s="29">
        <f>IFERROR(INDEX('3B Intra'!$F$7:$F$26,MATCH(2,'3B Intra'!$BC$7:$BC$26,0))&amp;"","")</f>
        <v/>
      </c>
      <c r="G13" s="29">
        <f>IFERROR(INDEX('3B Intra'!$G$7:$G$26,MATCH(2,'3B Intra'!$BC$7:$BC$26,0))&amp;"","")</f>
        <v/>
      </c>
      <c r="H13" s="6">
        <f>IFERROR(INDEX('3B Intra'!$H$7:$H$26,MATCH(2,'3B Intra'!$BC$7:$BC$26,0))&amp;"","")</f>
        <v/>
      </c>
      <c r="I13" s="29" t="n"/>
      <c r="J13" s="29" t="n"/>
      <c r="K13" s="29" t="n"/>
      <c r="L13" s="29" t="n"/>
      <c r="M13" s="29" t="n"/>
      <c r="N13" s="29" t="n"/>
      <c r="O13" s="29" t="n"/>
      <c r="P13" s="29" t="n"/>
      <c r="Q13" s="29" t="n"/>
      <c r="R13" s="29" t="n"/>
      <c r="S13" s="29" t="n"/>
      <c r="T13" s="29" t="n"/>
      <c r="U13" s="29" t="n"/>
      <c r="V13" s="29" t="n"/>
      <c r="W13" s="29" t="n"/>
      <c r="X13" s="29" t="n"/>
      <c r="Y13" s="29" t="n"/>
      <c r="Z13" s="29" t="n"/>
      <c r="AA13" s="29" t="n"/>
      <c r="AB13" s="29" t="n"/>
      <c r="AC13" s="29" t="n"/>
      <c r="AD13" s="29" t="n"/>
      <c r="AE13" s="29" t="n"/>
      <c r="AF13" s="29" t="n"/>
      <c r="AG13" s="29" t="n"/>
      <c r="AH13" s="29" t="n"/>
      <c r="AI13" s="29" t="n"/>
      <c r="AJ13" s="29" t="n"/>
      <c r="AK13" s="29" t="n"/>
      <c r="AL13" s="29" t="n"/>
      <c r="AM13" s="29" t="n"/>
      <c r="AN13" s="29" t="n"/>
      <c r="AO13" s="29" t="n"/>
      <c r="AP13" s="59">
        <f>IF(COUNT(I13,T13,AE13)=0,"",AVERAGE(I13,T13,AE13))</f>
        <v/>
      </c>
      <c r="AQ13" s="59">
        <f>IF(COUNT(J13,U13,AF13)=0,"",AVERAGE(J13,U13,AF13))</f>
        <v/>
      </c>
      <c r="AR13" s="59">
        <f>IF(COUNT(K13,V13,AG13)=0,"",AVERAGE(K13,V13,AG13))</f>
        <v/>
      </c>
      <c r="AS13" s="59">
        <f>IF(COUNT(L13,W13,AH13)=0,"",AVERAGE(L13,W13,AH13))</f>
        <v/>
      </c>
      <c r="AT13" s="59">
        <f>IF(COUNT(M13,X13,AI13)=0,"",AVERAGE(M13,X13,AI13))</f>
        <v/>
      </c>
      <c r="AU13" s="59">
        <f>IF(COUNT(N13,Y13,AJ13)=0,"",AVERAGE(N13,Y13,AJ13))</f>
        <v/>
      </c>
      <c r="AV13" s="59">
        <f>IF(COUNT(O13,Z13,AK13)=0,"",AVERAGE(O13,Z13,AK13))</f>
        <v/>
      </c>
      <c r="AW13" s="59">
        <f>IF(COUNT(P13,AA13,AL13)=0,"",AVERAGE(P13,AA13,AL13))</f>
        <v/>
      </c>
      <c r="AX13" s="59">
        <f>IF(COUNT(Q13,AB13,AM13)=0,"",AVERAGE(Q13,AB13,AM13))</f>
        <v/>
      </c>
      <c r="AY13" s="60">
        <f>IF(OR($F13="",COUNT(R13,AC13,AN13)=0),"",AVERAGE(R13,AC13,AN13))</f>
        <v/>
      </c>
      <c r="AZ13" s="60">
        <f>IF(OR($G13="",$G13=$F13,COUNT(S13,AD13,AO13)=0),"",AVERAGE(S13,AD13,AO13))</f>
        <v/>
      </c>
      <c r="BA13" s="61">
        <f>IF(COUNT(AP13:AX13)=0,"",SUM(AP13:AX13))</f>
        <v/>
      </c>
      <c r="BB13" s="62">
        <f>IF(BA13="","",BA13/BA$6)</f>
        <v/>
      </c>
      <c r="BC13" s="14">
        <f>IF(BR13="","",COUNTIF($BR$7:$BR$16,"&gt;"&amp;BR13)+COUNTIF($BR$7:BR13,BR13))</f>
        <v/>
      </c>
      <c r="BD13" s="63">
        <f>IF(BC13="","",IF(BC13&lt;=Mapping!$C$11,"Shortlisted","Not shortlisted"))</f>
        <v/>
      </c>
      <c r="BE13" s="64">
        <f>IFERROR((AP13/AP$6*Mapping!$D$15+AQ13/AQ$6*Mapping!$D$16+AR13/AR$6*Mapping!$D$17+AS13/AS$6*Mapping!$D$18+AT13/AT$6*Mapping!$D$19+AU13/AU$6*Mapping!$D$20+AV13/AV$6*Mapping!$D$21+AW13/AW$6*Mapping!$D$22+AX13/AX$6*Mapping!$D$23)/SUM(Mapping!$D$15:$D$23),"")</f>
        <v/>
      </c>
      <c r="BF13" s="64">
        <f>IFERROR((AP13/AP$6*Mapping!$E$15+AQ13/AQ$6*Mapping!$E$16+AR13/AR$6*Mapping!$E$17+AS13/AS$6*Mapping!$E$18+AT13/AT$6*Mapping!$E$19+AU13/AU$6*Mapping!$E$20+AV13/AV$6*Mapping!$E$21+AW13/AW$6*Mapping!$E$22+AX13/AX$6*Mapping!$E$23)/SUM(Mapping!$E$15:$E$23),"")</f>
        <v/>
      </c>
      <c r="BG13" s="64">
        <f>IFERROR((AP13/AP$6*Mapping!$F$15+AQ13/AQ$6*Mapping!$F$16+AR13/AR$6*Mapping!$F$17+AS13/AS$6*Mapping!$F$18+AT13/AT$6*Mapping!$F$19+AU13/AU$6*Mapping!$F$20+AV13/AV$6*Mapping!$F$21+AW13/AW$6*Mapping!$F$22+AX13/AX$6*Mapping!$F$23)/SUM(Mapping!$F$15:$F$23),"")</f>
        <v/>
      </c>
      <c r="BH13" s="64">
        <f>IFERROR((AP13/AP$6*Mapping!$G$15+AQ13/AQ$6*Mapping!$G$16+AR13/AR$6*Mapping!$G$17+AS13/AS$6*Mapping!$G$18+AT13/AT$6*Mapping!$G$19+AU13/AU$6*Mapping!$G$20+AV13/AV$6*Mapping!$G$21+AW13/AW$6*Mapping!$G$22+AX13/AX$6*Mapping!$G$23)/SUM(Mapping!$G$15:$G$23),"")</f>
        <v/>
      </c>
      <c r="BI13" s="64">
        <f>IFERROR((AP13/AP$6*Mapping!$H$15+AQ13/AQ$6*Mapping!$H$16+AR13/AR$6*Mapping!$H$17+AS13/AS$6*Mapping!$H$18+AT13/AT$6*Mapping!$H$19+AU13/AU$6*Mapping!$H$20+AV13/AV$6*Mapping!$H$21+AW13/AW$6*Mapping!$H$22+AX13/AX$6*Mapping!$H$23)/SUM(Mapping!$H$15:$H$23),"")</f>
        <v/>
      </c>
      <c r="BJ13" s="64">
        <f>IFERROR((AP13/AP$6*Mapping!$I$15+AQ13/AQ$6*Mapping!$I$16+AR13/AR$6*Mapping!$I$17+AS13/AS$6*Mapping!$I$18+AT13/AT$6*Mapping!$I$19+AU13/AU$6*Mapping!$I$20+AV13/AV$6*Mapping!$I$21+AW13/AW$6*Mapping!$I$22+AX13/AX$6*Mapping!$I$23)/SUM(Mapping!$I$15:$I$23),"")</f>
        <v/>
      </c>
      <c r="BK13" s="64">
        <f>IFERROR((AP13/AP$6*Mapping!$J$15+AQ13/AQ$6*Mapping!$J$16+AR13/AR$6*Mapping!$J$17+AS13/AS$6*Mapping!$J$18+AT13/AT$6*Mapping!$J$19+AU13/AU$6*Mapping!$J$20+AV13/AV$6*Mapping!$J$21+AW13/AW$6*Mapping!$J$22+AX13/AX$6*Mapping!$J$23)/SUM(Mapping!$J$15:$J$23),"")</f>
        <v/>
      </c>
      <c r="BL13" s="64">
        <f>IFERROR((AP13/AP$6*Mapping!$K$15+AQ13/AQ$6*Mapping!$K$16+AR13/AR$6*Mapping!$K$17+AS13/AS$6*Mapping!$K$18+AT13/AT$6*Mapping!$K$19+AU13/AU$6*Mapping!$K$20+AV13/AV$6*Mapping!$K$21+AW13/AW$6*Mapping!$K$22+AX13/AX$6*Mapping!$K$23)/SUM(Mapping!$K$15:$K$23),"")</f>
        <v/>
      </c>
      <c r="BM13" s="64">
        <f>IFERROR((AP13/AP$6*Mapping!$L$15+AQ13/AQ$6*Mapping!$L$16+AR13/AR$6*Mapping!$L$17+AS13/AS$6*Mapping!$L$18+AT13/AT$6*Mapping!$L$19+AU13/AU$6*Mapping!$L$20+AV13/AV$6*Mapping!$L$21+AW13/AW$6*Mapping!$L$22+AX13/AX$6*Mapping!$L$23)/SUM(Mapping!$L$15:$L$23),"")</f>
        <v/>
      </c>
      <c r="BN13" s="64">
        <f>IFERROR((AP13/AP$6*Mapping!$M$15+AQ13/AQ$6*Mapping!$M$16+AR13/AR$6*Mapping!$M$17+AS13/AS$6*Mapping!$M$18+AT13/AT$6*Mapping!$M$19+AU13/AU$6*Mapping!$M$20+AV13/AV$6*Mapping!$M$21+AW13/AW$6*Mapping!$M$22+AX13/AX$6*Mapping!$M$23)/SUM(Mapping!$M$15:$M$23),"")</f>
        <v/>
      </c>
      <c r="BO13" s="64">
        <f>IFERROR((AP13/AP$6*Mapping!$N$15+AQ13/AQ$6*Mapping!$N$16+AR13/AR$6*Mapping!$N$17+AS13/AS$6*Mapping!$N$18+AT13/AT$6*Mapping!$N$19+AU13/AU$6*Mapping!$N$20+AV13/AV$6*Mapping!$N$21+AW13/AW$6*Mapping!$N$22+AX13/AX$6*Mapping!$N$23)/SUM(Mapping!$N$15:$N$23),"")</f>
        <v/>
      </c>
      <c r="BP13" s="64">
        <f>IFERROR((AP13/AP$6*Mapping!$O$15+AQ13/AQ$6*Mapping!$O$16+AR13/AR$6*Mapping!$O$17+AS13/AS$6*Mapping!$O$18+AT13/AT$6*Mapping!$O$19+AU13/AU$6*Mapping!$O$20+AV13/AV$6*Mapping!$O$21+AW13/AW$6*Mapping!$O$22+AX13/AX$6*Mapping!$O$23)/SUM(Mapping!$O$15:$O$23),"")</f>
        <v/>
      </c>
      <c r="BQ13" s="64">
        <f>IFERROR((AP13/AP$6*Mapping!$P$15+AQ13/AQ$6*Mapping!$P$16+AR13/AR$6*Mapping!$P$17+AS13/AS$6*Mapping!$P$18+AT13/AT$6*Mapping!$P$19+AU13/AU$6*Mapping!$P$20+AV13/AV$6*Mapping!$P$21+AW13/AW$6*Mapping!$P$22+AX13/AX$6*Mapping!$P$23)/SUM(Mapping!$P$15:$P$23),"")</f>
        <v/>
      </c>
      <c r="BR13" s="65">
        <f>IF(BA13="","",BA13+N(AS13)/10000)</f>
        <v/>
      </c>
    </row>
    <row r="14" ht="30" customHeight="1">
      <c r="A14" s="28" t="n">
        <v>8</v>
      </c>
      <c r="B14" s="29" t="inlineStr">
        <is>
          <t>3rd Sem - B</t>
        </is>
      </c>
      <c r="C14" s="29">
        <f>IFERROR(INDEX('3B Intra'!$C$7:$C$26,MATCH(3,'3B Intra'!$BC$7:$BC$26,0))&amp;"","")</f>
        <v/>
      </c>
      <c r="D14" s="6">
        <f>IFERROR(INDEX('3B Intra'!$D$7:$D$26,MATCH(3,'3B Intra'!$BC$7:$BC$26,0))&amp;"","")</f>
        <v/>
      </c>
      <c r="E14" s="6">
        <f>IFERROR(INDEX('3B Intra'!$E$7:$E$26,MATCH(3,'3B Intra'!$BC$7:$BC$26,0))&amp;"","")</f>
        <v/>
      </c>
      <c r="F14" s="29">
        <f>IFERROR(INDEX('3B Intra'!$F$7:$F$26,MATCH(3,'3B Intra'!$BC$7:$BC$26,0))&amp;"","")</f>
        <v/>
      </c>
      <c r="G14" s="29">
        <f>IFERROR(INDEX('3B Intra'!$G$7:$G$26,MATCH(3,'3B Intra'!$BC$7:$BC$26,0))&amp;"","")</f>
        <v/>
      </c>
      <c r="H14" s="6">
        <f>IFERROR(INDEX('3B Intra'!$H$7:$H$26,MATCH(3,'3B Intra'!$BC$7:$BC$26,0))&amp;"","")</f>
        <v/>
      </c>
      <c r="I14" s="29" t="n"/>
      <c r="J14" s="29" t="n"/>
      <c r="K14" s="29" t="n"/>
      <c r="L14" s="29" t="n"/>
      <c r="M14" s="29" t="n"/>
      <c r="N14" s="29" t="n"/>
      <c r="O14" s="29" t="n"/>
      <c r="P14" s="29" t="n"/>
      <c r="Q14" s="29" t="n"/>
      <c r="R14" s="29" t="n"/>
      <c r="S14" s="29" t="n"/>
      <c r="T14" s="29" t="n"/>
      <c r="U14" s="29" t="n"/>
      <c r="V14" s="29" t="n"/>
      <c r="W14" s="29" t="n"/>
      <c r="X14" s="29" t="n"/>
      <c r="Y14" s="29" t="n"/>
      <c r="Z14" s="29" t="n"/>
      <c r="AA14" s="29" t="n"/>
      <c r="AB14" s="29" t="n"/>
      <c r="AC14" s="29" t="n"/>
      <c r="AD14" s="29" t="n"/>
      <c r="AE14" s="29" t="n"/>
      <c r="AF14" s="29" t="n"/>
      <c r="AG14" s="29" t="n"/>
      <c r="AH14" s="29" t="n"/>
      <c r="AI14" s="29" t="n"/>
      <c r="AJ14" s="29" t="n"/>
      <c r="AK14" s="29" t="n"/>
      <c r="AL14" s="29" t="n"/>
      <c r="AM14" s="29" t="n"/>
      <c r="AN14" s="29" t="n"/>
      <c r="AO14" s="29" t="n"/>
      <c r="AP14" s="59">
        <f>IF(COUNT(I14,T14,AE14)=0,"",AVERAGE(I14,T14,AE14))</f>
        <v/>
      </c>
      <c r="AQ14" s="59">
        <f>IF(COUNT(J14,U14,AF14)=0,"",AVERAGE(J14,U14,AF14))</f>
        <v/>
      </c>
      <c r="AR14" s="59">
        <f>IF(COUNT(K14,V14,AG14)=0,"",AVERAGE(K14,V14,AG14))</f>
        <v/>
      </c>
      <c r="AS14" s="59">
        <f>IF(COUNT(L14,W14,AH14)=0,"",AVERAGE(L14,W14,AH14))</f>
        <v/>
      </c>
      <c r="AT14" s="59">
        <f>IF(COUNT(M14,X14,AI14)=0,"",AVERAGE(M14,X14,AI14))</f>
        <v/>
      </c>
      <c r="AU14" s="59">
        <f>IF(COUNT(N14,Y14,AJ14)=0,"",AVERAGE(N14,Y14,AJ14))</f>
        <v/>
      </c>
      <c r="AV14" s="59">
        <f>IF(COUNT(O14,Z14,AK14)=0,"",AVERAGE(O14,Z14,AK14))</f>
        <v/>
      </c>
      <c r="AW14" s="59">
        <f>IF(COUNT(P14,AA14,AL14)=0,"",AVERAGE(P14,AA14,AL14))</f>
        <v/>
      </c>
      <c r="AX14" s="59">
        <f>IF(COUNT(Q14,AB14,AM14)=0,"",AVERAGE(Q14,AB14,AM14))</f>
        <v/>
      </c>
      <c r="AY14" s="60">
        <f>IF(OR($F14="",COUNT(R14,AC14,AN14)=0),"",AVERAGE(R14,AC14,AN14))</f>
        <v/>
      </c>
      <c r="AZ14" s="60">
        <f>IF(OR($G14="",$G14=$F14,COUNT(S14,AD14,AO14)=0),"",AVERAGE(S14,AD14,AO14))</f>
        <v/>
      </c>
      <c r="BA14" s="61">
        <f>IF(COUNT(AP14:AX14)=0,"",SUM(AP14:AX14))</f>
        <v/>
      </c>
      <c r="BB14" s="62">
        <f>IF(BA14="","",BA14/BA$6)</f>
        <v/>
      </c>
      <c r="BC14" s="14">
        <f>IF(BR14="","",COUNTIF($BR$7:$BR$16,"&gt;"&amp;BR14)+COUNTIF($BR$7:BR14,BR14))</f>
        <v/>
      </c>
      <c r="BD14" s="63">
        <f>IF(BC14="","",IF(BC14&lt;=Mapping!$C$11,"Shortlisted","Not shortlisted"))</f>
        <v/>
      </c>
      <c r="BE14" s="64">
        <f>IFERROR((AP14/AP$6*Mapping!$D$15+AQ14/AQ$6*Mapping!$D$16+AR14/AR$6*Mapping!$D$17+AS14/AS$6*Mapping!$D$18+AT14/AT$6*Mapping!$D$19+AU14/AU$6*Mapping!$D$20+AV14/AV$6*Mapping!$D$21+AW14/AW$6*Mapping!$D$22+AX14/AX$6*Mapping!$D$23)/SUM(Mapping!$D$15:$D$23),"")</f>
        <v/>
      </c>
      <c r="BF14" s="64">
        <f>IFERROR((AP14/AP$6*Mapping!$E$15+AQ14/AQ$6*Mapping!$E$16+AR14/AR$6*Mapping!$E$17+AS14/AS$6*Mapping!$E$18+AT14/AT$6*Mapping!$E$19+AU14/AU$6*Mapping!$E$20+AV14/AV$6*Mapping!$E$21+AW14/AW$6*Mapping!$E$22+AX14/AX$6*Mapping!$E$23)/SUM(Mapping!$E$15:$E$23),"")</f>
        <v/>
      </c>
      <c r="BG14" s="64">
        <f>IFERROR((AP14/AP$6*Mapping!$F$15+AQ14/AQ$6*Mapping!$F$16+AR14/AR$6*Mapping!$F$17+AS14/AS$6*Mapping!$F$18+AT14/AT$6*Mapping!$F$19+AU14/AU$6*Mapping!$F$20+AV14/AV$6*Mapping!$F$21+AW14/AW$6*Mapping!$F$22+AX14/AX$6*Mapping!$F$23)/SUM(Mapping!$F$15:$F$23),"")</f>
        <v/>
      </c>
      <c r="BH14" s="64">
        <f>IFERROR((AP14/AP$6*Mapping!$G$15+AQ14/AQ$6*Mapping!$G$16+AR14/AR$6*Mapping!$G$17+AS14/AS$6*Mapping!$G$18+AT14/AT$6*Mapping!$G$19+AU14/AU$6*Mapping!$G$20+AV14/AV$6*Mapping!$G$21+AW14/AW$6*Mapping!$G$22+AX14/AX$6*Mapping!$G$23)/SUM(Mapping!$G$15:$G$23),"")</f>
        <v/>
      </c>
      <c r="BI14" s="64">
        <f>IFERROR((AP14/AP$6*Mapping!$H$15+AQ14/AQ$6*Mapping!$H$16+AR14/AR$6*Mapping!$H$17+AS14/AS$6*Mapping!$H$18+AT14/AT$6*Mapping!$H$19+AU14/AU$6*Mapping!$H$20+AV14/AV$6*Mapping!$H$21+AW14/AW$6*Mapping!$H$22+AX14/AX$6*Mapping!$H$23)/SUM(Mapping!$H$15:$H$23),"")</f>
        <v/>
      </c>
      <c r="BJ14" s="64">
        <f>IFERROR((AP14/AP$6*Mapping!$I$15+AQ14/AQ$6*Mapping!$I$16+AR14/AR$6*Mapping!$I$17+AS14/AS$6*Mapping!$I$18+AT14/AT$6*Mapping!$I$19+AU14/AU$6*Mapping!$I$20+AV14/AV$6*Mapping!$I$21+AW14/AW$6*Mapping!$I$22+AX14/AX$6*Mapping!$I$23)/SUM(Mapping!$I$15:$I$23),"")</f>
        <v/>
      </c>
      <c r="BK14" s="64">
        <f>IFERROR((AP14/AP$6*Mapping!$J$15+AQ14/AQ$6*Mapping!$J$16+AR14/AR$6*Mapping!$J$17+AS14/AS$6*Mapping!$J$18+AT14/AT$6*Mapping!$J$19+AU14/AU$6*Mapping!$J$20+AV14/AV$6*Mapping!$J$21+AW14/AW$6*Mapping!$J$22+AX14/AX$6*Mapping!$J$23)/SUM(Mapping!$J$15:$J$23),"")</f>
        <v/>
      </c>
      <c r="BL14" s="64">
        <f>IFERROR((AP14/AP$6*Mapping!$K$15+AQ14/AQ$6*Mapping!$K$16+AR14/AR$6*Mapping!$K$17+AS14/AS$6*Mapping!$K$18+AT14/AT$6*Mapping!$K$19+AU14/AU$6*Mapping!$K$20+AV14/AV$6*Mapping!$K$21+AW14/AW$6*Mapping!$K$22+AX14/AX$6*Mapping!$K$23)/SUM(Mapping!$K$15:$K$23),"")</f>
        <v/>
      </c>
      <c r="BM14" s="64">
        <f>IFERROR((AP14/AP$6*Mapping!$L$15+AQ14/AQ$6*Mapping!$L$16+AR14/AR$6*Mapping!$L$17+AS14/AS$6*Mapping!$L$18+AT14/AT$6*Mapping!$L$19+AU14/AU$6*Mapping!$L$20+AV14/AV$6*Mapping!$L$21+AW14/AW$6*Mapping!$L$22+AX14/AX$6*Mapping!$L$23)/SUM(Mapping!$L$15:$L$23),"")</f>
        <v/>
      </c>
      <c r="BN14" s="64">
        <f>IFERROR((AP14/AP$6*Mapping!$M$15+AQ14/AQ$6*Mapping!$M$16+AR14/AR$6*Mapping!$M$17+AS14/AS$6*Mapping!$M$18+AT14/AT$6*Mapping!$M$19+AU14/AU$6*Mapping!$M$20+AV14/AV$6*Mapping!$M$21+AW14/AW$6*Mapping!$M$22+AX14/AX$6*Mapping!$M$23)/SUM(Mapping!$M$15:$M$23),"")</f>
        <v/>
      </c>
      <c r="BO14" s="64">
        <f>IFERROR((AP14/AP$6*Mapping!$N$15+AQ14/AQ$6*Mapping!$N$16+AR14/AR$6*Mapping!$N$17+AS14/AS$6*Mapping!$N$18+AT14/AT$6*Mapping!$N$19+AU14/AU$6*Mapping!$N$20+AV14/AV$6*Mapping!$N$21+AW14/AW$6*Mapping!$N$22+AX14/AX$6*Mapping!$N$23)/SUM(Mapping!$N$15:$N$23),"")</f>
        <v/>
      </c>
      <c r="BP14" s="64">
        <f>IFERROR((AP14/AP$6*Mapping!$O$15+AQ14/AQ$6*Mapping!$O$16+AR14/AR$6*Mapping!$O$17+AS14/AS$6*Mapping!$O$18+AT14/AT$6*Mapping!$O$19+AU14/AU$6*Mapping!$O$20+AV14/AV$6*Mapping!$O$21+AW14/AW$6*Mapping!$O$22+AX14/AX$6*Mapping!$O$23)/SUM(Mapping!$O$15:$O$23),"")</f>
        <v/>
      </c>
      <c r="BQ14" s="64">
        <f>IFERROR((AP14/AP$6*Mapping!$P$15+AQ14/AQ$6*Mapping!$P$16+AR14/AR$6*Mapping!$P$17+AS14/AS$6*Mapping!$P$18+AT14/AT$6*Mapping!$P$19+AU14/AU$6*Mapping!$P$20+AV14/AV$6*Mapping!$P$21+AW14/AW$6*Mapping!$P$22+AX14/AX$6*Mapping!$P$23)/SUM(Mapping!$P$15:$P$23),"")</f>
        <v/>
      </c>
      <c r="BR14" s="65">
        <f>IF(BA14="","",BA14+N(AS14)/10000)</f>
        <v/>
      </c>
    </row>
    <row r="15" ht="30" customHeight="1">
      <c r="A15" s="28" t="n">
        <v>9</v>
      </c>
      <c r="B15" s="29" t="inlineStr">
        <is>
          <t>3rd Sem - B</t>
        </is>
      </c>
      <c r="C15" s="29">
        <f>IFERROR(INDEX('3B Intra'!$C$7:$C$26,MATCH(4,'3B Intra'!$BC$7:$BC$26,0))&amp;"","")</f>
        <v/>
      </c>
      <c r="D15" s="6">
        <f>IFERROR(INDEX('3B Intra'!$D$7:$D$26,MATCH(4,'3B Intra'!$BC$7:$BC$26,0))&amp;"","")</f>
        <v/>
      </c>
      <c r="E15" s="6">
        <f>IFERROR(INDEX('3B Intra'!$E$7:$E$26,MATCH(4,'3B Intra'!$BC$7:$BC$26,0))&amp;"","")</f>
        <v/>
      </c>
      <c r="F15" s="29">
        <f>IFERROR(INDEX('3B Intra'!$F$7:$F$26,MATCH(4,'3B Intra'!$BC$7:$BC$26,0))&amp;"","")</f>
        <v/>
      </c>
      <c r="G15" s="29">
        <f>IFERROR(INDEX('3B Intra'!$G$7:$G$26,MATCH(4,'3B Intra'!$BC$7:$BC$26,0))&amp;"","")</f>
        <v/>
      </c>
      <c r="H15" s="6">
        <f>IFERROR(INDEX('3B Intra'!$H$7:$H$26,MATCH(4,'3B Intra'!$BC$7:$BC$26,0))&amp;"","")</f>
        <v/>
      </c>
      <c r="I15" s="29" t="n"/>
      <c r="J15" s="29" t="n"/>
      <c r="K15" s="29" t="n"/>
      <c r="L15" s="29" t="n"/>
      <c r="M15" s="29" t="n"/>
      <c r="N15" s="29" t="n"/>
      <c r="O15" s="29" t="n"/>
      <c r="P15" s="29" t="n"/>
      <c r="Q15" s="29" t="n"/>
      <c r="R15" s="29" t="n"/>
      <c r="S15" s="29" t="n"/>
      <c r="T15" s="29" t="n"/>
      <c r="U15" s="29" t="n"/>
      <c r="V15" s="29" t="n"/>
      <c r="W15" s="29" t="n"/>
      <c r="X15" s="29" t="n"/>
      <c r="Y15" s="29" t="n"/>
      <c r="Z15" s="29" t="n"/>
      <c r="AA15" s="29" t="n"/>
      <c r="AB15" s="29" t="n"/>
      <c r="AC15" s="29" t="n"/>
      <c r="AD15" s="29" t="n"/>
      <c r="AE15" s="29" t="n"/>
      <c r="AF15" s="29" t="n"/>
      <c r="AG15" s="29" t="n"/>
      <c r="AH15" s="29" t="n"/>
      <c r="AI15" s="29" t="n"/>
      <c r="AJ15" s="29" t="n"/>
      <c r="AK15" s="29" t="n"/>
      <c r="AL15" s="29" t="n"/>
      <c r="AM15" s="29" t="n"/>
      <c r="AN15" s="29" t="n"/>
      <c r="AO15" s="29" t="n"/>
      <c r="AP15" s="59">
        <f>IF(COUNT(I15,T15,AE15)=0,"",AVERAGE(I15,T15,AE15))</f>
        <v/>
      </c>
      <c r="AQ15" s="59">
        <f>IF(COUNT(J15,U15,AF15)=0,"",AVERAGE(J15,U15,AF15))</f>
        <v/>
      </c>
      <c r="AR15" s="59">
        <f>IF(COUNT(K15,V15,AG15)=0,"",AVERAGE(K15,V15,AG15))</f>
        <v/>
      </c>
      <c r="AS15" s="59">
        <f>IF(COUNT(L15,W15,AH15)=0,"",AVERAGE(L15,W15,AH15))</f>
        <v/>
      </c>
      <c r="AT15" s="59">
        <f>IF(COUNT(M15,X15,AI15)=0,"",AVERAGE(M15,X15,AI15))</f>
        <v/>
      </c>
      <c r="AU15" s="59">
        <f>IF(COUNT(N15,Y15,AJ15)=0,"",AVERAGE(N15,Y15,AJ15))</f>
        <v/>
      </c>
      <c r="AV15" s="59">
        <f>IF(COUNT(O15,Z15,AK15)=0,"",AVERAGE(O15,Z15,AK15))</f>
        <v/>
      </c>
      <c r="AW15" s="59">
        <f>IF(COUNT(P15,AA15,AL15)=0,"",AVERAGE(P15,AA15,AL15))</f>
        <v/>
      </c>
      <c r="AX15" s="59">
        <f>IF(COUNT(Q15,AB15,AM15)=0,"",AVERAGE(Q15,AB15,AM15))</f>
        <v/>
      </c>
      <c r="AY15" s="60">
        <f>IF(OR($F15="",COUNT(R15,AC15,AN15)=0),"",AVERAGE(R15,AC15,AN15))</f>
        <v/>
      </c>
      <c r="AZ15" s="60">
        <f>IF(OR($G15="",$G15=$F15,COUNT(S15,AD15,AO15)=0),"",AVERAGE(S15,AD15,AO15))</f>
        <v/>
      </c>
      <c r="BA15" s="61">
        <f>IF(COUNT(AP15:AX15)=0,"",SUM(AP15:AX15))</f>
        <v/>
      </c>
      <c r="BB15" s="62">
        <f>IF(BA15="","",BA15/BA$6)</f>
        <v/>
      </c>
      <c r="BC15" s="14">
        <f>IF(BR15="","",COUNTIF($BR$7:$BR$16,"&gt;"&amp;BR15)+COUNTIF($BR$7:BR15,BR15))</f>
        <v/>
      </c>
      <c r="BD15" s="63">
        <f>IF(BC15="","",IF(BC15&lt;=Mapping!$C$11,"Shortlisted","Not shortlisted"))</f>
        <v/>
      </c>
      <c r="BE15" s="64">
        <f>IFERROR((AP15/AP$6*Mapping!$D$15+AQ15/AQ$6*Mapping!$D$16+AR15/AR$6*Mapping!$D$17+AS15/AS$6*Mapping!$D$18+AT15/AT$6*Mapping!$D$19+AU15/AU$6*Mapping!$D$20+AV15/AV$6*Mapping!$D$21+AW15/AW$6*Mapping!$D$22+AX15/AX$6*Mapping!$D$23)/SUM(Mapping!$D$15:$D$23),"")</f>
        <v/>
      </c>
      <c r="BF15" s="64">
        <f>IFERROR((AP15/AP$6*Mapping!$E$15+AQ15/AQ$6*Mapping!$E$16+AR15/AR$6*Mapping!$E$17+AS15/AS$6*Mapping!$E$18+AT15/AT$6*Mapping!$E$19+AU15/AU$6*Mapping!$E$20+AV15/AV$6*Mapping!$E$21+AW15/AW$6*Mapping!$E$22+AX15/AX$6*Mapping!$E$23)/SUM(Mapping!$E$15:$E$23),"")</f>
        <v/>
      </c>
      <c r="BG15" s="64">
        <f>IFERROR((AP15/AP$6*Mapping!$F$15+AQ15/AQ$6*Mapping!$F$16+AR15/AR$6*Mapping!$F$17+AS15/AS$6*Mapping!$F$18+AT15/AT$6*Mapping!$F$19+AU15/AU$6*Mapping!$F$20+AV15/AV$6*Mapping!$F$21+AW15/AW$6*Mapping!$F$22+AX15/AX$6*Mapping!$F$23)/SUM(Mapping!$F$15:$F$23),"")</f>
        <v/>
      </c>
      <c r="BH15" s="64">
        <f>IFERROR((AP15/AP$6*Mapping!$G$15+AQ15/AQ$6*Mapping!$G$16+AR15/AR$6*Mapping!$G$17+AS15/AS$6*Mapping!$G$18+AT15/AT$6*Mapping!$G$19+AU15/AU$6*Mapping!$G$20+AV15/AV$6*Mapping!$G$21+AW15/AW$6*Mapping!$G$22+AX15/AX$6*Mapping!$G$23)/SUM(Mapping!$G$15:$G$23),"")</f>
        <v/>
      </c>
      <c r="BI15" s="64">
        <f>IFERROR((AP15/AP$6*Mapping!$H$15+AQ15/AQ$6*Mapping!$H$16+AR15/AR$6*Mapping!$H$17+AS15/AS$6*Mapping!$H$18+AT15/AT$6*Mapping!$H$19+AU15/AU$6*Mapping!$H$20+AV15/AV$6*Mapping!$H$21+AW15/AW$6*Mapping!$H$22+AX15/AX$6*Mapping!$H$23)/SUM(Mapping!$H$15:$H$23),"")</f>
        <v/>
      </c>
      <c r="BJ15" s="64">
        <f>IFERROR((AP15/AP$6*Mapping!$I$15+AQ15/AQ$6*Mapping!$I$16+AR15/AR$6*Mapping!$I$17+AS15/AS$6*Mapping!$I$18+AT15/AT$6*Mapping!$I$19+AU15/AU$6*Mapping!$I$20+AV15/AV$6*Mapping!$I$21+AW15/AW$6*Mapping!$I$22+AX15/AX$6*Mapping!$I$23)/SUM(Mapping!$I$15:$I$23),"")</f>
        <v/>
      </c>
      <c r="BK15" s="64">
        <f>IFERROR((AP15/AP$6*Mapping!$J$15+AQ15/AQ$6*Mapping!$J$16+AR15/AR$6*Mapping!$J$17+AS15/AS$6*Mapping!$J$18+AT15/AT$6*Mapping!$J$19+AU15/AU$6*Mapping!$J$20+AV15/AV$6*Mapping!$J$21+AW15/AW$6*Mapping!$J$22+AX15/AX$6*Mapping!$J$23)/SUM(Mapping!$J$15:$J$23),"")</f>
        <v/>
      </c>
      <c r="BL15" s="64">
        <f>IFERROR((AP15/AP$6*Mapping!$K$15+AQ15/AQ$6*Mapping!$K$16+AR15/AR$6*Mapping!$K$17+AS15/AS$6*Mapping!$K$18+AT15/AT$6*Mapping!$K$19+AU15/AU$6*Mapping!$K$20+AV15/AV$6*Mapping!$K$21+AW15/AW$6*Mapping!$K$22+AX15/AX$6*Mapping!$K$23)/SUM(Mapping!$K$15:$K$23),"")</f>
        <v/>
      </c>
      <c r="BM15" s="64">
        <f>IFERROR((AP15/AP$6*Mapping!$L$15+AQ15/AQ$6*Mapping!$L$16+AR15/AR$6*Mapping!$L$17+AS15/AS$6*Mapping!$L$18+AT15/AT$6*Mapping!$L$19+AU15/AU$6*Mapping!$L$20+AV15/AV$6*Mapping!$L$21+AW15/AW$6*Mapping!$L$22+AX15/AX$6*Mapping!$L$23)/SUM(Mapping!$L$15:$L$23),"")</f>
        <v/>
      </c>
      <c r="BN15" s="64">
        <f>IFERROR((AP15/AP$6*Mapping!$M$15+AQ15/AQ$6*Mapping!$M$16+AR15/AR$6*Mapping!$M$17+AS15/AS$6*Mapping!$M$18+AT15/AT$6*Mapping!$M$19+AU15/AU$6*Mapping!$M$20+AV15/AV$6*Mapping!$M$21+AW15/AW$6*Mapping!$M$22+AX15/AX$6*Mapping!$M$23)/SUM(Mapping!$M$15:$M$23),"")</f>
        <v/>
      </c>
      <c r="BO15" s="64">
        <f>IFERROR((AP15/AP$6*Mapping!$N$15+AQ15/AQ$6*Mapping!$N$16+AR15/AR$6*Mapping!$N$17+AS15/AS$6*Mapping!$N$18+AT15/AT$6*Mapping!$N$19+AU15/AU$6*Mapping!$N$20+AV15/AV$6*Mapping!$N$21+AW15/AW$6*Mapping!$N$22+AX15/AX$6*Mapping!$N$23)/SUM(Mapping!$N$15:$N$23),"")</f>
        <v/>
      </c>
      <c r="BP15" s="64">
        <f>IFERROR((AP15/AP$6*Mapping!$O$15+AQ15/AQ$6*Mapping!$O$16+AR15/AR$6*Mapping!$O$17+AS15/AS$6*Mapping!$O$18+AT15/AT$6*Mapping!$O$19+AU15/AU$6*Mapping!$O$20+AV15/AV$6*Mapping!$O$21+AW15/AW$6*Mapping!$O$22+AX15/AX$6*Mapping!$O$23)/SUM(Mapping!$O$15:$O$23),"")</f>
        <v/>
      </c>
      <c r="BQ15" s="64">
        <f>IFERROR((AP15/AP$6*Mapping!$P$15+AQ15/AQ$6*Mapping!$P$16+AR15/AR$6*Mapping!$P$17+AS15/AS$6*Mapping!$P$18+AT15/AT$6*Mapping!$P$19+AU15/AU$6*Mapping!$P$20+AV15/AV$6*Mapping!$P$21+AW15/AW$6*Mapping!$P$22+AX15/AX$6*Mapping!$P$23)/SUM(Mapping!$P$15:$P$23),"")</f>
        <v/>
      </c>
      <c r="BR15" s="65">
        <f>IF(BA15="","",BA15+N(AS15)/10000)</f>
        <v/>
      </c>
    </row>
    <row r="16" ht="30" customHeight="1">
      <c r="A16" s="28" t="n">
        <v>10</v>
      </c>
      <c r="B16" s="29" t="inlineStr">
        <is>
          <t>3rd Sem - B</t>
        </is>
      </c>
      <c r="C16" s="29">
        <f>IFERROR(INDEX('3B Intra'!$C$7:$C$26,MATCH(5,'3B Intra'!$BC$7:$BC$26,0))&amp;"","")</f>
        <v/>
      </c>
      <c r="D16" s="6">
        <f>IFERROR(INDEX('3B Intra'!$D$7:$D$26,MATCH(5,'3B Intra'!$BC$7:$BC$26,0))&amp;"","")</f>
        <v/>
      </c>
      <c r="E16" s="6">
        <f>IFERROR(INDEX('3B Intra'!$E$7:$E$26,MATCH(5,'3B Intra'!$BC$7:$BC$26,0))&amp;"","")</f>
        <v/>
      </c>
      <c r="F16" s="29">
        <f>IFERROR(INDEX('3B Intra'!$F$7:$F$26,MATCH(5,'3B Intra'!$BC$7:$BC$26,0))&amp;"","")</f>
        <v/>
      </c>
      <c r="G16" s="29">
        <f>IFERROR(INDEX('3B Intra'!$G$7:$G$26,MATCH(5,'3B Intra'!$BC$7:$BC$26,0))&amp;"","")</f>
        <v/>
      </c>
      <c r="H16" s="6">
        <f>IFERROR(INDEX('3B Intra'!$H$7:$H$26,MATCH(5,'3B Intra'!$BC$7:$BC$26,0))&amp;"","")</f>
        <v/>
      </c>
      <c r="I16" s="29" t="n"/>
      <c r="J16" s="29" t="n"/>
      <c r="K16" s="29" t="n"/>
      <c r="L16" s="29" t="n"/>
      <c r="M16" s="29" t="n"/>
      <c r="N16" s="29" t="n"/>
      <c r="O16" s="29" t="n"/>
      <c r="P16" s="29" t="n"/>
      <c r="Q16" s="29" t="n"/>
      <c r="R16" s="29" t="n"/>
      <c r="S16" s="29" t="n"/>
      <c r="T16" s="29" t="n"/>
      <c r="U16" s="29" t="n"/>
      <c r="V16" s="29" t="n"/>
      <c r="W16" s="29" t="n"/>
      <c r="X16" s="29" t="n"/>
      <c r="Y16" s="29" t="n"/>
      <c r="Z16" s="29" t="n"/>
      <c r="AA16" s="29" t="n"/>
      <c r="AB16" s="29" t="n"/>
      <c r="AC16" s="29" t="n"/>
      <c r="AD16" s="29" t="n"/>
      <c r="AE16" s="29" t="n"/>
      <c r="AF16" s="29" t="n"/>
      <c r="AG16" s="29" t="n"/>
      <c r="AH16" s="29" t="n"/>
      <c r="AI16" s="29" t="n"/>
      <c r="AJ16" s="29" t="n"/>
      <c r="AK16" s="29" t="n"/>
      <c r="AL16" s="29" t="n"/>
      <c r="AM16" s="29" t="n"/>
      <c r="AN16" s="29" t="n"/>
      <c r="AO16" s="29" t="n"/>
      <c r="AP16" s="59">
        <f>IF(COUNT(I16,T16,AE16)=0,"",AVERAGE(I16,T16,AE16))</f>
        <v/>
      </c>
      <c r="AQ16" s="59">
        <f>IF(COUNT(J16,U16,AF16)=0,"",AVERAGE(J16,U16,AF16))</f>
        <v/>
      </c>
      <c r="AR16" s="59">
        <f>IF(COUNT(K16,V16,AG16)=0,"",AVERAGE(K16,V16,AG16))</f>
        <v/>
      </c>
      <c r="AS16" s="59">
        <f>IF(COUNT(L16,W16,AH16)=0,"",AVERAGE(L16,W16,AH16))</f>
        <v/>
      </c>
      <c r="AT16" s="59">
        <f>IF(COUNT(M16,X16,AI16)=0,"",AVERAGE(M16,X16,AI16))</f>
        <v/>
      </c>
      <c r="AU16" s="59">
        <f>IF(COUNT(N16,Y16,AJ16)=0,"",AVERAGE(N16,Y16,AJ16))</f>
        <v/>
      </c>
      <c r="AV16" s="59">
        <f>IF(COUNT(O16,Z16,AK16)=0,"",AVERAGE(O16,Z16,AK16))</f>
        <v/>
      </c>
      <c r="AW16" s="59">
        <f>IF(COUNT(P16,AA16,AL16)=0,"",AVERAGE(P16,AA16,AL16))</f>
        <v/>
      </c>
      <c r="AX16" s="59">
        <f>IF(COUNT(Q16,AB16,AM16)=0,"",AVERAGE(Q16,AB16,AM16))</f>
        <v/>
      </c>
      <c r="AY16" s="60">
        <f>IF(OR($F16="",COUNT(R16,AC16,AN16)=0),"",AVERAGE(R16,AC16,AN16))</f>
        <v/>
      </c>
      <c r="AZ16" s="60">
        <f>IF(OR($G16="",$G16=$F16,COUNT(S16,AD16,AO16)=0),"",AVERAGE(S16,AD16,AO16))</f>
        <v/>
      </c>
      <c r="BA16" s="61">
        <f>IF(COUNT(AP16:AX16)=0,"",SUM(AP16:AX16))</f>
        <v/>
      </c>
      <c r="BB16" s="62">
        <f>IF(BA16="","",BA16/BA$6)</f>
        <v/>
      </c>
      <c r="BC16" s="14">
        <f>IF(BR16="","",COUNTIF($BR$7:$BR$16,"&gt;"&amp;BR16)+COUNTIF($BR$7:BR16,BR16))</f>
        <v/>
      </c>
      <c r="BD16" s="63">
        <f>IF(BC16="","",IF(BC16&lt;=Mapping!$C$11,"Shortlisted","Not shortlisted"))</f>
        <v/>
      </c>
      <c r="BE16" s="64">
        <f>IFERROR((AP16/AP$6*Mapping!$D$15+AQ16/AQ$6*Mapping!$D$16+AR16/AR$6*Mapping!$D$17+AS16/AS$6*Mapping!$D$18+AT16/AT$6*Mapping!$D$19+AU16/AU$6*Mapping!$D$20+AV16/AV$6*Mapping!$D$21+AW16/AW$6*Mapping!$D$22+AX16/AX$6*Mapping!$D$23)/SUM(Mapping!$D$15:$D$23),"")</f>
        <v/>
      </c>
      <c r="BF16" s="64">
        <f>IFERROR((AP16/AP$6*Mapping!$E$15+AQ16/AQ$6*Mapping!$E$16+AR16/AR$6*Mapping!$E$17+AS16/AS$6*Mapping!$E$18+AT16/AT$6*Mapping!$E$19+AU16/AU$6*Mapping!$E$20+AV16/AV$6*Mapping!$E$21+AW16/AW$6*Mapping!$E$22+AX16/AX$6*Mapping!$E$23)/SUM(Mapping!$E$15:$E$23),"")</f>
        <v/>
      </c>
      <c r="BG16" s="64">
        <f>IFERROR((AP16/AP$6*Mapping!$F$15+AQ16/AQ$6*Mapping!$F$16+AR16/AR$6*Mapping!$F$17+AS16/AS$6*Mapping!$F$18+AT16/AT$6*Mapping!$F$19+AU16/AU$6*Mapping!$F$20+AV16/AV$6*Mapping!$F$21+AW16/AW$6*Mapping!$F$22+AX16/AX$6*Mapping!$F$23)/SUM(Mapping!$F$15:$F$23),"")</f>
        <v/>
      </c>
      <c r="BH16" s="64">
        <f>IFERROR((AP16/AP$6*Mapping!$G$15+AQ16/AQ$6*Mapping!$G$16+AR16/AR$6*Mapping!$G$17+AS16/AS$6*Mapping!$G$18+AT16/AT$6*Mapping!$G$19+AU16/AU$6*Mapping!$G$20+AV16/AV$6*Mapping!$G$21+AW16/AW$6*Mapping!$G$22+AX16/AX$6*Mapping!$G$23)/SUM(Mapping!$G$15:$G$23),"")</f>
        <v/>
      </c>
      <c r="BI16" s="64">
        <f>IFERROR((AP16/AP$6*Mapping!$H$15+AQ16/AQ$6*Mapping!$H$16+AR16/AR$6*Mapping!$H$17+AS16/AS$6*Mapping!$H$18+AT16/AT$6*Mapping!$H$19+AU16/AU$6*Mapping!$H$20+AV16/AV$6*Mapping!$H$21+AW16/AW$6*Mapping!$H$22+AX16/AX$6*Mapping!$H$23)/SUM(Mapping!$H$15:$H$23),"")</f>
        <v/>
      </c>
      <c r="BJ16" s="64">
        <f>IFERROR((AP16/AP$6*Mapping!$I$15+AQ16/AQ$6*Mapping!$I$16+AR16/AR$6*Mapping!$I$17+AS16/AS$6*Mapping!$I$18+AT16/AT$6*Mapping!$I$19+AU16/AU$6*Mapping!$I$20+AV16/AV$6*Mapping!$I$21+AW16/AW$6*Mapping!$I$22+AX16/AX$6*Mapping!$I$23)/SUM(Mapping!$I$15:$I$23),"")</f>
        <v/>
      </c>
      <c r="BK16" s="64">
        <f>IFERROR((AP16/AP$6*Mapping!$J$15+AQ16/AQ$6*Mapping!$J$16+AR16/AR$6*Mapping!$J$17+AS16/AS$6*Mapping!$J$18+AT16/AT$6*Mapping!$J$19+AU16/AU$6*Mapping!$J$20+AV16/AV$6*Mapping!$J$21+AW16/AW$6*Mapping!$J$22+AX16/AX$6*Mapping!$J$23)/SUM(Mapping!$J$15:$J$23),"")</f>
        <v/>
      </c>
      <c r="BL16" s="64">
        <f>IFERROR((AP16/AP$6*Mapping!$K$15+AQ16/AQ$6*Mapping!$K$16+AR16/AR$6*Mapping!$K$17+AS16/AS$6*Mapping!$K$18+AT16/AT$6*Mapping!$K$19+AU16/AU$6*Mapping!$K$20+AV16/AV$6*Mapping!$K$21+AW16/AW$6*Mapping!$K$22+AX16/AX$6*Mapping!$K$23)/SUM(Mapping!$K$15:$K$23),"")</f>
        <v/>
      </c>
      <c r="BM16" s="64">
        <f>IFERROR((AP16/AP$6*Mapping!$L$15+AQ16/AQ$6*Mapping!$L$16+AR16/AR$6*Mapping!$L$17+AS16/AS$6*Mapping!$L$18+AT16/AT$6*Mapping!$L$19+AU16/AU$6*Mapping!$L$20+AV16/AV$6*Mapping!$L$21+AW16/AW$6*Mapping!$L$22+AX16/AX$6*Mapping!$L$23)/SUM(Mapping!$L$15:$L$23),"")</f>
        <v/>
      </c>
      <c r="BN16" s="64">
        <f>IFERROR((AP16/AP$6*Mapping!$M$15+AQ16/AQ$6*Mapping!$M$16+AR16/AR$6*Mapping!$M$17+AS16/AS$6*Mapping!$M$18+AT16/AT$6*Mapping!$M$19+AU16/AU$6*Mapping!$M$20+AV16/AV$6*Mapping!$M$21+AW16/AW$6*Mapping!$M$22+AX16/AX$6*Mapping!$M$23)/SUM(Mapping!$M$15:$M$23),"")</f>
        <v/>
      </c>
      <c r="BO16" s="64">
        <f>IFERROR((AP16/AP$6*Mapping!$N$15+AQ16/AQ$6*Mapping!$N$16+AR16/AR$6*Mapping!$N$17+AS16/AS$6*Mapping!$N$18+AT16/AT$6*Mapping!$N$19+AU16/AU$6*Mapping!$N$20+AV16/AV$6*Mapping!$N$21+AW16/AW$6*Mapping!$N$22+AX16/AX$6*Mapping!$N$23)/SUM(Mapping!$N$15:$N$23),"")</f>
        <v/>
      </c>
      <c r="BP16" s="64">
        <f>IFERROR((AP16/AP$6*Mapping!$O$15+AQ16/AQ$6*Mapping!$O$16+AR16/AR$6*Mapping!$O$17+AS16/AS$6*Mapping!$O$18+AT16/AT$6*Mapping!$O$19+AU16/AU$6*Mapping!$O$20+AV16/AV$6*Mapping!$O$21+AW16/AW$6*Mapping!$O$22+AX16/AX$6*Mapping!$O$23)/SUM(Mapping!$O$15:$O$23),"")</f>
        <v/>
      </c>
      <c r="BQ16" s="64">
        <f>IFERROR((AP16/AP$6*Mapping!$P$15+AQ16/AQ$6*Mapping!$P$16+AR16/AR$6*Mapping!$P$17+AS16/AS$6*Mapping!$P$18+AT16/AT$6*Mapping!$P$19+AU16/AU$6*Mapping!$P$20+AV16/AV$6*Mapping!$P$21+AW16/AW$6*Mapping!$P$22+AX16/AX$6*Mapping!$P$23)/SUM(Mapping!$P$15:$P$23),"")</f>
        <v/>
      </c>
      <c r="BR16" s="65">
        <f>IF(BA16="","",BA16+N(AS16)/10000)</f>
        <v/>
      </c>
    </row>
    <row r="18">
      <c r="D18" s="13" t="inlineStr">
        <is>
          <t>Average score (marks)</t>
        </is>
      </c>
      <c r="AP18" s="59">
        <f>IFERROR(AVERAGE(AP$7:AP$16),"")</f>
        <v/>
      </c>
      <c r="AQ18" s="59">
        <f>IFERROR(AVERAGE(AQ$7:AQ$16),"")</f>
        <v/>
      </c>
      <c r="AR18" s="59">
        <f>IFERROR(AVERAGE(AR$7:AR$16),"")</f>
        <v/>
      </c>
      <c r="AS18" s="59">
        <f>IFERROR(AVERAGE(AS$7:AS$16),"")</f>
        <v/>
      </c>
      <c r="AT18" s="59">
        <f>IFERROR(AVERAGE(AT$7:AT$16),"")</f>
        <v/>
      </c>
      <c r="AU18" s="59">
        <f>IFERROR(AVERAGE(AU$7:AU$16),"")</f>
        <v/>
      </c>
      <c r="AV18" s="59">
        <f>IFERROR(AVERAGE(AV$7:AV$16),"")</f>
        <v/>
      </c>
      <c r="AW18" s="59">
        <f>IFERROR(AVERAGE(AW$7:AW$16),"")</f>
        <v/>
      </c>
      <c r="AX18" s="59">
        <f>IFERROR(AVERAGE(AX$7:AX$16),"")</f>
        <v/>
      </c>
      <c r="AY18" s="60">
        <f>IFERROR(AVERAGE(AY$7:AY$16),"")</f>
        <v/>
      </c>
      <c r="AZ18" s="60">
        <f>IFERROR(AVERAGE(AZ$7:AZ$16),"")</f>
        <v/>
      </c>
      <c r="BA18" s="61">
        <f>IFERROR(AVERAGE(BA$7:BA$16),"")</f>
        <v/>
      </c>
    </row>
    <row r="19">
      <c r="D19" s="13" t="inlineStr">
        <is>
          <t>Average score (% of max)</t>
        </is>
      </c>
      <c r="AP19" s="66">
        <f>IFERROR(AP18/AP$6,"")</f>
        <v/>
      </c>
      <c r="AQ19" s="66">
        <f>IFERROR(AQ18/AQ$6,"")</f>
        <v/>
      </c>
      <c r="AR19" s="66">
        <f>IFERROR(AR18/AR$6,"")</f>
        <v/>
      </c>
      <c r="AS19" s="66">
        <f>IFERROR(AS18/AS$6,"")</f>
        <v/>
      </c>
      <c r="AT19" s="66">
        <f>IFERROR(AT18/AT$6,"")</f>
        <v/>
      </c>
      <c r="AU19" s="66">
        <f>IFERROR(AU18/AU$6,"")</f>
        <v/>
      </c>
      <c r="AV19" s="66">
        <f>IFERROR(AV18/AV$6,"")</f>
        <v/>
      </c>
      <c r="AW19" s="66">
        <f>IFERROR(AW18/AW$6,"")</f>
        <v/>
      </c>
      <c r="AX19" s="66">
        <f>IFERROR(AX18/AX$6,"")</f>
        <v/>
      </c>
      <c r="BA19" s="15">
        <f>IFERROR(BA18/BA$6,"")</f>
        <v/>
      </c>
    </row>
    <row r="20">
      <c r="D20" s="13" t="inlineStr">
        <is>
          <t>Average attainment (%)</t>
        </is>
      </c>
      <c r="BE20" s="67">
        <f>IFERROR(AVERAGE(BE$7:BE$16),"")</f>
        <v/>
      </c>
      <c r="BF20" s="67">
        <f>IFERROR(AVERAGE(BF$7:BF$16),"")</f>
        <v/>
      </c>
      <c r="BG20" s="67">
        <f>IFERROR(AVERAGE(BG$7:BG$16),"")</f>
        <v/>
      </c>
      <c r="BH20" s="67">
        <f>IFERROR(AVERAGE(BH$7:BH$16),"")</f>
        <v/>
      </c>
      <c r="BI20" s="67">
        <f>IFERROR(AVERAGE(BI$7:BI$16),"")</f>
        <v/>
      </c>
      <c r="BJ20" s="67">
        <f>IFERROR(AVERAGE(BJ$7:BJ$16),"")</f>
        <v/>
      </c>
      <c r="BK20" s="67">
        <f>IFERROR(AVERAGE(BK$7:BK$16),"")</f>
        <v/>
      </c>
      <c r="BL20" s="67">
        <f>IFERROR(AVERAGE(BL$7:BL$16),"")</f>
        <v/>
      </c>
      <c r="BM20" s="67">
        <f>IFERROR(AVERAGE(BM$7:BM$16),"")</f>
        <v/>
      </c>
      <c r="BN20" s="67">
        <f>IFERROR(AVERAGE(BN$7:BN$16),"")</f>
        <v/>
      </c>
      <c r="BO20" s="67">
        <f>IFERROR(AVERAGE(BO$7:BO$16),"")</f>
        <v/>
      </c>
      <c r="BP20" s="67">
        <f>IFERROR(AVERAGE(BP$7:BP$16),"")</f>
        <v/>
      </c>
      <c r="BQ20" s="67">
        <f>IFERROR(AVERAGE(BQ$7:BQ$16),"")</f>
        <v/>
      </c>
    </row>
    <row r="21">
      <c r="D21" s="13" t="inlineStr">
        <is>
          <t>% of teams at/above target</t>
        </is>
      </c>
      <c r="BE21" s="67">
        <f>IFERROR(COUNTIF(BE$7:BE$16,"&gt;="&amp;Mapping!$C$7)/COUNT(BE$7:BE$16),"")</f>
        <v/>
      </c>
      <c r="BF21" s="67">
        <f>IFERROR(COUNTIF(BF$7:BF$16,"&gt;="&amp;Mapping!$C$7)/COUNT(BF$7:BF$16),"")</f>
        <v/>
      </c>
      <c r="BG21" s="67">
        <f>IFERROR(COUNTIF(BG$7:BG$16,"&gt;="&amp;Mapping!$C$7)/COUNT(BG$7:BG$16),"")</f>
        <v/>
      </c>
      <c r="BH21" s="67">
        <f>IFERROR(COUNTIF(BH$7:BH$16,"&gt;="&amp;Mapping!$C$7)/COUNT(BH$7:BH$16),"")</f>
        <v/>
      </c>
      <c r="BI21" s="67">
        <f>IFERROR(COUNTIF(BI$7:BI$16,"&gt;="&amp;Mapping!$C$7)/COUNT(BI$7:BI$16),"")</f>
        <v/>
      </c>
      <c r="BJ21" s="67">
        <f>IFERROR(COUNTIF(BJ$7:BJ$16,"&gt;="&amp;Mapping!$C$7)/COUNT(BJ$7:BJ$16),"")</f>
        <v/>
      </c>
      <c r="BK21" s="67">
        <f>IFERROR(COUNTIF(BK$7:BK$16,"&gt;="&amp;Mapping!$C$7)/COUNT(BK$7:BK$16),"")</f>
        <v/>
      </c>
      <c r="BL21" s="67">
        <f>IFERROR(COUNTIF(BL$7:BL$16,"&gt;="&amp;Mapping!$C$7)/COUNT(BL$7:BL$16),"")</f>
        <v/>
      </c>
      <c r="BM21" s="67">
        <f>IFERROR(COUNTIF(BM$7:BM$16,"&gt;="&amp;Mapping!$C$7)/COUNT(BM$7:BM$16),"")</f>
        <v/>
      </c>
      <c r="BN21" s="67">
        <f>IFERROR(COUNTIF(BN$7:BN$16,"&gt;="&amp;Mapping!$C$7)/COUNT(BN$7:BN$16),"")</f>
        <v/>
      </c>
      <c r="BO21" s="67">
        <f>IFERROR(COUNTIF(BO$7:BO$16,"&gt;="&amp;Mapping!$C$7)/COUNT(BO$7:BO$16),"")</f>
        <v/>
      </c>
      <c r="BP21" s="67">
        <f>IFERROR(COUNTIF(BP$7:BP$16,"&gt;="&amp;Mapping!$C$7)/COUNT(BP$7:BP$16),"")</f>
        <v/>
      </c>
      <c r="BQ21" s="67">
        <f>IFERROR(COUNTIF(BQ$7:BQ$16,"&gt;="&amp;Mapping!$C$7)/COUNT(BQ$7:BQ$16),"")</f>
        <v/>
      </c>
    </row>
    <row r="22">
      <c r="D22" s="13" t="inlineStr">
        <is>
          <t>Attainment level (0–3)</t>
        </is>
      </c>
      <c r="BE22" s="68">
        <f>IF(BE21="","",IF(BE21&gt;=Mapping!$C$8,3,IF(BE21&gt;=Mapping!$C$9,2,IF(BE21&gt;=Mapping!$C$10,1,0))))</f>
        <v/>
      </c>
      <c r="BF22" s="68">
        <f>IF(BF21="","",IF(BF21&gt;=Mapping!$C$8,3,IF(BF21&gt;=Mapping!$C$9,2,IF(BF21&gt;=Mapping!$C$10,1,0))))</f>
        <v/>
      </c>
      <c r="BG22" s="68">
        <f>IF(BG21="","",IF(BG21&gt;=Mapping!$C$8,3,IF(BG21&gt;=Mapping!$C$9,2,IF(BG21&gt;=Mapping!$C$10,1,0))))</f>
        <v/>
      </c>
      <c r="BH22" s="68">
        <f>IF(BH21="","",IF(BH21&gt;=Mapping!$C$8,3,IF(BH21&gt;=Mapping!$C$9,2,IF(BH21&gt;=Mapping!$C$10,1,0))))</f>
        <v/>
      </c>
      <c r="BI22" s="68">
        <f>IF(BI21="","",IF(BI21&gt;=Mapping!$C$8,3,IF(BI21&gt;=Mapping!$C$9,2,IF(BI21&gt;=Mapping!$C$10,1,0))))</f>
        <v/>
      </c>
      <c r="BJ22" s="68">
        <f>IF(BJ21="","",IF(BJ21&gt;=Mapping!$C$8,3,IF(BJ21&gt;=Mapping!$C$9,2,IF(BJ21&gt;=Mapping!$C$10,1,0))))</f>
        <v/>
      </c>
      <c r="BK22" s="68">
        <f>IF(BK21="","",IF(BK21&gt;=Mapping!$C$8,3,IF(BK21&gt;=Mapping!$C$9,2,IF(BK21&gt;=Mapping!$C$10,1,0))))</f>
        <v/>
      </c>
      <c r="BL22" s="68">
        <f>IF(BL21="","",IF(BL21&gt;=Mapping!$C$8,3,IF(BL21&gt;=Mapping!$C$9,2,IF(BL21&gt;=Mapping!$C$10,1,0))))</f>
        <v/>
      </c>
      <c r="BM22" s="68">
        <f>IF(BM21="","",IF(BM21&gt;=Mapping!$C$8,3,IF(BM21&gt;=Mapping!$C$9,2,IF(BM21&gt;=Mapping!$C$10,1,0))))</f>
        <v/>
      </c>
      <c r="BN22" s="68">
        <f>IF(BN21="","",IF(BN21&gt;=Mapping!$C$8,3,IF(BN21&gt;=Mapping!$C$9,2,IF(BN21&gt;=Mapping!$C$10,1,0))))</f>
        <v/>
      </c>
      <c r="BO22" s="68">
        <f>IF(BO21="","",IF(BO21&gt;=Mapping!$C$8,3,IF(BO21&gt;=Mapping!$C$9,2,IF(BO21&gt;=Mapping!$C$10,1,0))))</f>
        <v/>
      </c>
      <c r="BP22" s="68">
        <f>IF(BP21="","",IF(BP21&gt;=Mapping!$C$8,3,IF(BP21&gt;=Mapping!$C$9,2,IF(BP21&gt;=Mapping!$C$10,1,0))))</f>
        <v/>
      </c>
      <c r="BQ22" s="68">
        <f>IF(BQ21="","",IF(BQ21&gt;=Mapping!$C$8,3,IF(BQ21&gt;=Mapping!$C$9,2,IF(BQ21&gt;=Mapping!$C$10,1,0))))</f>
        <v/>
      </c>
    </row>
    <row r="23">
      <c r="D23" s="13" t="inlineStr">
        <is>
          <t>Teams evaluated</t>
        </is>
      </c>
      <c r="E23" s="20">
        <f>COUNT(BA$7:BA$16)</f>
        <v/>
      </c>
    </row>
    <row r="24">
      <c r="D24" s="69" t="inlineStr">
        <is>
          <t>SDG attainment: average contribution strength (0–3)</t>
        </is>
      </c>
      <c r="E24" s="60">
        <f>IFERROR((SUM(AY$7:AY$16)+SUM(AZ$7:AZ$16))/(COUNT(AY$7:AY$16)+COUNT(AZ$7:AZ$16)),"")</f>
        <v/>
      </c>
    </row>
    <row r="25">
      <c r="D25" s="69" t="inlineStr">
        <is>
          <t>SDG: % of rated team–SDG pairs at/above target strength</t>
        </is>
      </c>
      <c r="E25" s="70">
        <f>IFERROR((COUNTIF(AY$7:AY$16,"&gt;="&amp;Mapping!$C$12)+COUNTIF(AZ$7:AZ$16,"&gt;="&amp;Mapping!$C$12))/(COUNT(AY$7:AY$16)+COUNT(AZ$7:AZ$16)),"")</f>
        <v/>
      </c>
    </row>
    <row r="26">
      <c r="D26" s="69" t="inlineStr">
        <is>
          <t>SDG: team–SDG pairs rated</t>
        </is>
      </c>
      <c r="E26" s="71">
        <f>COUNT(AY$7:AY$16)+COUNT(AZ$7:AZ$16)</f>
        <v/>
      </c>
    </row>
    <row r="27">
      <c r="D27" s="69" t="inlineStr">
        <is>
          <t>SDG: team–SDG pairs claimed</t>
        </is>
      </c>
      <c r="E27" s="71">
        <f>COUNTIF($F$7:$F$16,"?*")+SUMPRODUCT(--($G$7:$G$16&lt;&gt;""),--($G$7:$G$16&lt;&gt;$F$7:$F$16))</f>
        <v/>
      </c>
    </row>
    <row r="29">
      <c r="D29" s="16" t="inlineStr">
        <is>
          <t>SDG goal-wise attainment (from contribution-strength ratings)</t>
        </is>
      </c>
    </row>
    <row r="30" ht="45" customHeight="1">
      <c r="D30" s="17" t="inlineStr">
        <is>
          <t>Sustainable Development Goal</t>
        </is>
      </c>
      <c r="E30" s="17" t="inlineStr">
        <is>
          <t>Solutions (teams claiming the goal)</t>
        </is>
      </c>
      <c r="F30" s="17" t="inlineStr">
        <is>
          <t>Solutions rated</t>
        </is>
      </c>
      <c r="G30" s="17" t="inlineStr">
        <is>
          <t>Avg contribution strength (0–3)</t>
        </is>
      </c>
      <c r="H30" s="17" t="inlineStr">
        <is>
          <t>% rated at/above target strength</t>
        </is>
      </c>
    </row>
    <row r="31">
      <c r="D31" s="5">
        <f>'SDG List'!A2</f>
        <v/>
      </c>
      <c r="E31" s="11">
        <f>COUNTIF($F$7:$F$16,$D31)+COUNTIF($G$7:$G$16,$D31)-COUNTIFS($F$7:$F$16,$D31,$G$7:$G$16,$D31)</f>
        <v/>
      </c>
      <c r="F31" s="11">
        <f>COUNTIFS($F$7:$F$16,$D31,AY$7:AY$16,"&gt;=0")+COUNTIFS($G$7:$G$16,$D31,AZ$7:AZ$16,"&gt;=0")</f>
        <v/>
      </c>
      <c r="G31" s="18">
        <f>IFERROR((SUMIF($F$7:$F$16,$D31,AY$7:AY$16)+SUMIF($G$7:$G$16,$D31,AZ$7:AZ$16))/F31,"")</f>
        <v/>
      </c>
      <c r="H31" s="12">
        <f>IFERROR((COUNTIFS($F$7:$F$16,$D31,AY$7:AY$16,"&gt;="&amp;Mapping!$C$12)+COUNTIFS($G$7:$G$16,$D31,AZ$7:AZ$16,"&gt;="&amp;Mapping!$C$12))/F31,"")</f>
        <v/>
      </c>
    </row>
    <row r="32">
      <c r="D32" s="5">
        <f>'SDG List'!A3</f>
        <v/>
      </c>
      <c r="E32" s="11">
        <f>COUNTIF($F$7:$F$16,$D32)+COUNTIF($G$7:$G$16,$D32)-COUNTIFS($F$7:$F$16,$D32,$G$7:$G$16,$D32)</f>
        <v/>
      </c>
      <c r="F32" s="11">
        <f>COUNTIFS($F$7:$F$16,$D32,AY$7:AY$16,"&gt;=0")+COUNTIFS($G$7:$G$16,$D32,AZ$7:AZ$16,"&gt;=0")</f>
        <v/>
      </c>
      <c r="G32" s="18">
        <f>IFERROR((SUMIF($F$7:$F$16,$D32,AY$7:AY$16)+SUMIF($G$7:$G$16,$D32,AZ$7:AZ$16))/F32,"")</f>
        <v/>
      </c>
      <c r="H32" s="12">
        <f>IFERROR((COUNTIFS($F$7:$F$16,$D32,AY$7:AY$16,"&gt;="&amp;Mapping!$C$12)+COUNTIFS($G$7:$G$16,$D32,AZ$7:AZ$16,"&gt;="&amp;Mapping!$C$12))/F32,"")</f>
        <v/>
      </c>
    </row>
    <row r="33">
      <c r="D33" s="5">
        <f>'SDG List'!A4</f>
        <v/>
      </c>
      <c r="E33" s="11">
        <f>COUNTIF($F$7:$F$16,$D33)+COUNTIF($G$7:$G$16,$D33)-COUNTIFS($F$7:$F$16,$D33,$G$7:$G$16,$D33)</f>
        <v/>
      </c>
      <c r="F33" s="11">
        <f>COUNTIFS($F$7:$F$16,$D33,AY$7:AY$16,"&gt;=0")+COUNTIFS($G$7:$G$16,$D33,AZ$7:AZ$16,"&gt;=0")</f>
        <v/>
      </c>
      <c r="G33" s="18">
        <f>IFERROR((SUMIF($F$7:$F$16,$D33,AY$7:AY$16)+SUMIF($G$7:$G$16,$D33,AZ$7:AZ$16))/F33,"")</f>
        <v/>
      </c>
      <c r="H33" s="12">
        <f>IFERROR((COUNTIFS($F$7:$F$16,$D33,AY$7:AY$16,"&gt;="&amp;Mapping!$C$12)+COUNTIFS($G$7:$G$16,$D33,AZ$7:AZ$16,"&gt;="&amp;Mapping!$C$12))/F33,"")</f>
        <v/>
      </c>
    </row>
    <row r="34">
      <c r="D34" s="5">
        <f>'SDG List'!A5</f>
        <v/>
      </c>
      <c r="E34" s="11">
        <f>COUNTIF($F$7:$F$16,$D34)+COUNTIF($G$7:$G$16,$D34)-COUNTIFS($F$7:$F$16,$D34,$G$7:$G$16,$D34)</f>
        <v/>
      </c>
      <c r="F34" s="11">
        <f>COUNTIFS($F$7:$F$16,$D34,AY$7:AY$16,"&gt;=0")+COUNTIFS($G$7:$G$16,$D34,AZ$7:AZ$16,"&gt;=0")</f>
        <v/>
      </c>
      <c r="G34" s="18">
        <f>IFERROR((SUMIF($F$7:$F$16,$D34,AY$7:AY$16)+SUMIF($G$7:$G$16,$D34,AZ$7:AZ$16))/F34,"")</f>
        <v/>
      </c>
      <c r="H34" s="12">
        <f>IFERROR((COUNTIFS($F$7:$F$16,$D34,AY$7:AY$16,"&gt;="&amp;Mapping!$C$12)+COUNTIFS($G$7:$G$16,$D34,AZ$7:AZ$16,"&gt;="&amp;Mapping!$C$12))/F34,"")</f>
        <v/>
      </c>
    </row>
    <row r="35">
      <c r="D35" s="5">
        <f>'SDG List'!A6</f>
        <v/>
      </c>
      <c r="E35" s="11">
        <f>COUNTIF($F$7:$F$16,$D35)+COUNTIF($G$7:$G$16,$D35)-COUNTIFS($F$7:$F$16,$D35,$G$7:$G$16,$D35)</f>
        <v/>
      </c>
      <c r="F35" s="11">
        <f>COUNTIFS($F$7:$F$16,$D35,AY$7:AY$16,"&gt;=0")+COUNTIFS($G$7:$G$16,$D35,AZ$7:AZ$16,"&gt;=0")</f>
        <v/>
      </c>
      <c r="G35" s="18">
        <f>IFERROR((SUMIF($F$7:$F$16,$D35,AY$7:AY$16)+SUMIF($G$7:$G$16,$D35,AZ$7:AZ$16))/F35,"")</f>
        <v/>
      </c>
      <c r="H35" s="12">
        <f>IFERROR((COUNTIFS($F$7:$F$16,$D35,AY$7:AY$16,"&gt;="&amp;Mapping!$C$12)+COUNTIFS($G$7:$G$16,$D35,AZ$7:AZ$16,"&gt;="&amp;Mapping!$C$12))/F35,"")</f>
        <v/>
      </c>
    </row>
    <row r="36">
      <c r="D36" s="5">
        <f>'SDG List'!A7</f>
        <v/>
      </c>
      <c r="E36" s="11">
        <f>COUNTIF($F$7:$F$16,$D36)+COUNTIF($G$7:$G$16,$D36)-COUNTIFS($F$7:$F$16,$D36,$G$7:$G$16,$D36)</f>
        <v/>
      </c>
      <c r="F36" s="11">
        <f>COUNTIFS($F$7:$F$16,$D36,AY$7:AY$16,"&gt;=0")+COUNTIFS($G$7:$G$16,$D36,AZ$7:AZ$16,"&gt;=0")</f>
        <v/>
      </c>
      <c r="G36" s="18">
        <f>IFERROR((SUMIF($F$7:$F$16,$D36,AY$7:AY$16)+SUMIF($G$7:$G$16,$D36,AZ$7:AZ$16))/F36,"")</f>
        <v/>
      </c>
      <c r="H36" s="12">
        <f>IFERROR((COUNTIFS($F$7:$F$16,$D36,AY$7:AY$16,"&gt;="&amp;Mapping!$C$12)+COUNTIFS($G$7:$G$16,$D36,AZ$7:AZ$16,"&gt;="&amp;Mapping!$C$12))/F36,"")</f>
        <v/>
      </c>
    </row>
    <row r="37">
      <c r="D37" s="5">
        <f>'SDG List'!A8</f>
        <v/>
      </c>
      <c r="E37" s="11">
        <f>COUNTIF($F$7:$F$16,$D37)+COUNTIF($G$7:$G$16,$D37)-COUNTIFS($F$7:$F$16,$D37,$G$7:$G$16,$D37)</f>
        <v/>
      </c>
      <c r="F37" s="11">
        <f>COUNTIFS($F$7:$F$16,$D37,AY$7:AY$16,"&gt;=0")+COUNTIFS($G$7:$G$16,$D37,AZ$7:AZ$16,"&gt;=0")</f>
        <v/>
      </c>
      <c r="G37" s="18">
        <f>IFERROR((SUMIF($F$7:$F$16,$D37,AY$7:AY$16)+SUMIF($G$7:$G$16,$D37,AZ$7:AZ$16))/F37,"")</f>
        <v/>
      </c>
      <c r="H37" s="12">
        <f>IFERROR((COUNTIFS($F$7:$F$16,$D37,AY$7:AY$16,"&gt;="&amp;Mapping!$C$12)+COUNTIFS($G$7:$G$16,$D37,AZ$7:AZ$16,"&gt;="&amp;Mapping!$C$12))/F37,"")</f>
        <v/>
      </c>
    </row>
    <row r="38">
      <c r="D38" s="5">
        <f>'SDG List'!A9</f>
        <v/>
      </c>
      <c r="E38" s="11">
        <f>COUNTIF($F$7:$F$16,$D38)+COUNTIF($G$7:$G$16,$D38)-COUNTIFS($F$7:$F$16,$D38,$G$7:$G$16,$D38)</f>
        <v/>
      </c>
      <c r="F38" s="11">
        <f>COUNTIFS($F$7:$F$16,$D38,AY$7:AY$16,"&gt;=0")+COUNTIFS($G$7:$G$16,$D38,AZ$7:AZ$16,"&gt;=0")</f>
        <v/>
      </c>
      <c r="G38" s="18">
        <f>IFERROR((SUMIF($F$7:$F$16,$D38,AY$7:AY$16)+SUMIF($G$7:$G$16,$D38,AZ$7:AZ$16))/F38,"")</f>
        <v/>
      </c>
      <c r="H38" s="12">
        <f>IFERROR((COUNTIFS($F$7:$F$16,$D38,AY$7:AY$16,"&gt;="&amp;Mapping!$C$12)+COUNTIFS($G$7:$G$16,$D38,AZ$7:AZ$16,"&gt;="&amp;Mapping!$C$12))/F38,"")</f>
        <v/>
      </c>
    </row>
    <row r="39">
      <c r="D39" s="5">
        <f>'SDG List'!A10</f>
        <v/>
      </c>
      <c r="E39" s="11">
        <f>COUNTIF($F$7:$F$16,$D39)+COUNTIF($G$7:$G$16,$D39)-COUNTIFS($F$7:$F$16,$D39,$G$7:$G$16,$D39)</f>
        <v/>
      </c>
      <c r="F39" s="11">
        <f>COUNTIFS($F$7:$F$16,$D39,AY$7:AY$16,"&gt;=0")+COUNTIFS($G$7:$G$16,$D39,AZ$7:AZ$16,"&gt;=0")</f>
        <v/>
      </c>
      <c r="G39" s="18">
        <f>IFERROR((SUMIF($F$7:$F$16,$D39,AY$7:AY$16)+SUMIF($G$7:$G$16,$D39,AZ$7:AZ$16))/F39,"")</f>
        <v/>
      </c>
      <c r="H39" s="12">
        <f>IFERROR((COUNTIFS($F$7:$F$16,$D39,AY$7:AY$16,"&gt;="&amp;Mapping!$C$12)+COUNTIFS($G$7:$G$16,$D39,AZ$7:AZ$16,"&gt;="&amp;Mapping!$C$12))/F39,"")</f>
        <v/>
      </c>
    </row>
    <row r="40">
      <c r="D40" s="5">
        <f>'SDG List'!A11</f>
        <v/>
      </c>
      <c r="E40" s="11">
        <f>COUNTIF($F$7:$F$16,$D40)+COUNTIF($G$7:$G$16,$D40)-COUNTIFS($F$7:$F$16,$D40,$G$7:$G$16,$D40)</f>
        <v/>
      </c>
      <c r="F40" s="11">
        <f>COUNTIFS($F$7:$F$16,$D40,AY$7:AY$16,"&gt;=0")+COUNTIFS($G$7:$G$16,$D40,AZ$7:AZ$16,"&gt;=0")</f>
        <v/>
      </c>
      <c r="G40" s="18">
        <f>IFERROR((SUMIF($F$7:$F$16,$D40,AY$7:AY$16)+SUMIF($G$7:$G$16,$D40,AZ$7:AZ$16))/F40,"")</f>
        <v/>
      </c>
      <c r="H40" s="12">
        <f>IFERROR((COUNTIFS($F$7:$F$16,$D40,AY$7:AY$16,"&gt;="&amp;Mapping!$C$12)+COUNTIFS($G$7:$G$16,$D40,AZ$7:AZ$16,"&gt;="&amp;Mapping!$C$12))/F40,"")</f>
        <v/>
      </c>
    </row>
    <row r="41">
      <c r="D41" s="5">
        <f>'SDG List'!A12</f>
        <v/>
      </c>
      <c r="E41" s="11">
        <f>COUNTIF($F$7:$F$16,$D41)+COUNTIF($G$7:$G$16,$D41)-COUNTIFS($F$7:$F$16,$D41,$G$7:$G$16,$D41)</f>
        <v/>
      </c>
      <c r="F41" s="11">
        <f>COUNTIFS($F$7:$F$16,$D41,AY$7:AY$16,"&gt;=0")+COUNTIFS($G$7:$G$16,$D41,AZ$7:AZ$16,"&gt;=0")</f>
        <v/>
      </c>
      <c r="G41" s="18">
        <f>IFERROR((SUMIF($F$7:$F$16,$D41,AY$7:AY$16)+SUMIF($G$7:$G$16,$D41,AZ$7:AZ$16))/F41,"")</f>
        <v/>
      </c>
      <c r="H41" s="12">
        <f>IFERROR((COUNTIFS($F$7:$F$16,$D41,AY$7:AY$16,"&gt;="&amp;Mapping!$C$12)+COUNTIFS($G$7:$G$16,$D41,AZ$7:AZ$16,"&gt;="&amp;Mapping!$C$12))/F41,"")</f>
        <v/>
      </c>
    </row>
    <row r="42">
      <c r="D42" s="5">
        <f>'SDG List'!A13</f>
        <v/>
      </c>
      <c r="E42" s="11">
        <f>COUNTIF($F$7:$F$16,$D42)+COUNTIF($G$7:$G$16,$D42)-COUNTIFS($F$7:$F$16,$D42,$G$7:$G$16,$D42)</f>
        <v/>
      </c>
      <c r="F42" s="11">
        <f>COUNTIFS($F$7:$F$16,$D42,AY$7:AY$16,"&gt;=0")+COUNTIFS($G$7:$G$16,$D42,AZ$7:AZ$16,"&gt;=0")</f>
        <v/>
      </c>
      <c r="G42" s="18">
        <f>IFERROR((SUMIF($F$7:$F$16,$D42,AY$7:AY$16)+SUMIF($G$7:$G$16,$D42,AZ$7:AZ$16))/F42,"")</f>
        <v/>
      </c>
      <c r="H42" s="12">
        <f>IFERROR((COUNTIFS($F$7:$F$16,$D42,AY$7:AY$16,"&gt;="&amp;Mapping!$C$12)+COUNTIFS($G$7:$G$16,$D42,AZ$7:AZ$16,"&gt;="&amp;Mapping!$C$12))/F42,"")</f>
        <v/>
      </c>
    </row>
    <row r="43">
      <c r="D43" s="5">
        <f>'SDG List'!A14</f>
        <v/>
      </c>
      <c r="E43" s="11">
        <f>COUNTIF($F$7:$F$16,$D43)+COUNTIF($G$7:$G$16,$D43)-COUNTIFS($F$7:$F$16,$D43,$G$7:$G$16,$D43)</f>
        <v/>
      </c>
      <c r="F43" s="11">
        <f>COUNTIFS($F$7:$F$16,$D43,AY$7:AY$16,"&gt;=0")+COUNTIFS($G$7:$G$16,$D43,AZ$7:AZ$16,"&gt;=0")</f>
        <v/>
      </c>
      <c r="G43" s="18">
        <f>IFERROR((SUMIF($F$7:$F$16,$D43,AY$7:AY$16)+SUMIF($G$7:$G$16,$D43,AZ$7:AZ$16))/F43,"")</f>
        <v/>
      </c>
      <c r="H43" s="12">
        <f>IFERROR((COUNTIFS($F$7:$F$16,$D43,AY$7:AY$16,"&gt;="&amp;Mapping!$C$12)+COUNTIFS($G$7:$G$16,$D43,AZ$7:AZ$16,"&gt;="&amp;Mapping!$C$12))/F43,"")</f>
        <v/>
      </c>
    </row>
    <row r="44">
      <c r="D44" s="5">
        <f>'SDG List'!A15</f>
        <v/>
      </c>
      <c r="E44" s="11">
        <f>COUNTIF($F$7:$F$16,$D44)+COUNTIF($G$7:$G$16,$D44)-COUNTIFS($F$7:$F$16,$D44,$G$7:$G$16,$D44)</f>
        <v/>
      </c>
      <c r="F44" s="11">
        <f>COUNTIFS($F$7:$F$16,$D44,AY$7:AY$16,"&gt;=0")+COUNTIFS($G$7:$G$16,$D44,AZ$7:AZ$16,"&gt;=0")</f>
        <v/>
      </c>
      <c r="G44" s="18">
        <f>IFERROR((SUMIF($F$7:$F$16,$D44,AY$7:AY$16)+SUMIF($G$7:$G$16,$D44,AZ$7:AZ$16))/F44,"")</f>
        <v/>
      </c>
      <c r="H44" s="12">
        <f>IFERROR((COUNTIFS($F$7:$F$16,$D44,AY$7:AY$16,"&gt;="&amp;Mapping!$C$12)+COUNTIFS($G$7:$G$16,$D44,AZ$7:AZ$16,"&gt;="&amp;Mapping!$C$12))/F44,"")</f>
        <v/>
      </c>
    </row>
    <row r="45">
      <c r="D45" s="5">
        <f>'SDG List'!A16</f>
        <v/>
      </c>
      <c r="E45" s="11">
        <f>COUNTIF($F$7:$F$16,$D45)+COUNTIF($G$7:$G$16,$D45)-COUNTIFS($F$7:$F$16,$D45,$G$7:$G$16,$D45)</f>
        <v/>
      </c>
      <c r="F45" s="11">
        <f>COUNTIFS($F$7:$F$16,$D45,AY$7:AY$16,"&gt;=0")+COUNTIFS($G$7:$G$16,$D45,AZ$7:AZ$16,"&gt;=0")</f>
        <v/>
      </c>
      <c r="G45" s="18">
        <f>IFERROR((SUMIF($F$7:$F$16,$D45,AY$7:AY$16)+SUMIF($G$7:$G$16,$D45,AZ$7:AZ$16))/F45,"")</f>
        <v/>
      </c>
      <c r="H45" s="12">
        <f>IFERROR((COUNTIFS($F$7:$F$16,$D45,AY$7:AY$16,"&gt;="&amp;Mapping!$C$12)+COUNTIFS($G$7:$G$16,$D45,AZ$7:AZ$16,"&gt;="&amp;Mapping!$C$12))/F45,"")</f>
        <v/>
      </c>
    </row>
    <row r="46">
      <c r="D46" s="5">
        <f>'SDG List'!A17</f>
        <v/>
      </c>
      <c r="E46" s="11">
        <f>COUNTIF($F$7:$F$16,$D46)+COUNTIF($G$7:$G$16,$D46)-COUNTIFS($F$7:$F$16,$D46,$G$7:$G$16,$D46)</f>
        <v/>
      </c>
      <c r="F46" s="11">
        <f>COUNTIFS($F$7:$F$16,$D46,AY$7:AY$16,"&gt;=0")+COUNTIFS($G$7:$G$16,$D46,AZ$7:AZ$16,"&gt;=0")</f>
        <v/>
      </c>
      <c r="G46" s="18">
        <f>IFERROR((SUMIF($F$7:$F$16,$D46,AY$7:AY$16)+SUMIF($G$7:$G$16,$D46,AZ$7:AZ$16))/F46,"")</f>
        <v/>
      </c>
      <c r="H46" s="12">
        <f>IFERROR((COUNTIFS($F$7:$F$16,$D46,AY$7:AY$16,"&gt;="&amp;Mapping!$C$12)+COUNTIFS($G$7:$G$16,$D46,AZ$7:AZ$16,"&gt;="&amp;Mapping!$C$12))/F46,"")</f>
        <v/>
      </c>
    </row>
    <row r="47">
      <c r="D47" s="5">
        <f>'SDG List'!A18</f>
        <v/>
      </c>
      <c r="E47" s="11">
        <f>COUNTIF($F$7:$F$16,$D47)+COUNTIF($G$7:$G$16,$D47)-COUNTIFS($F$7:$F$16,$D47,$G$7:$G$16,$D47)</f>
        <v/>
      </c>
      <c r="F47" s="11">
        <f>COUNTIFS($F$7:$F$16,$D47,AY$7:AY$16,"&gt;=0")+COUNTIFS($G$7:$G$16,$D47,AZ$7:AZ$16,"&gt;=0")</f>
        <v/>
      </c>
      <c r="G47" s="18">
        <f>IFERROR((SUMIF($F$7:$F$16,$D47,AY$7:AY$16)+SUMIF($G$7:$G$16,$D47,AZ$7:AZ$16))/F47,"")</f>
        <v/>
      </c>
      <c r="H47" s="12">
        <f>IFERROR((COUNTIFS($F$7:$F$16,$D47,AY$7:AY$16,"&gt;="&amp;Mapping!$C$12)+COUNTIFS($G$7:$G$16,$D47,AZ$7:AZ$16,"&gt;="&amp;Mapping!$C$12))/F47,"")</f>
        <v/>
      </c>
    </row>
  </sheetData>
  <sheetProtection selectLockedCells="0" selectUnlockedCells="0" sheet="1" objects="0" insertRows="1" insertHyperlinks="1" autoFilter="1" scenarios="0" formatColumns="0" deleteColumns="1" insertColumns="1" pivotTables="1" deleteRows="1" formatCells="1" formatRows="0" sort="1"/>
  <mergeCells count="29">
    <mergeCell ref="E5:E6"/>
    <mergeCell ref="AP2:BB2"/>
    <mergeCell ref="AE4:AO4"/>
    <mergeCell ref="BA4:BD4"/>
    <mergeCell ref="F5:F6"/>
    <mergeCell ref="B2:C2"/>
    <mergeCell ref="AE3:AF3"/>
    <mergeCell ref="T4:AD4"/>
    <mergeCell ref="AY4:AZ4"/>
    <mergeCell ref="BP4:BQ4"/>
    <mergeCell ref="BE4:BO4"/>
    <mergeCell ref="A1:AO1"/>
    <mergeCell ref="AG3:AO3"/>
    <mergeCell ref="I3:J3"/>
    <mergeCell ref="A5:A6"/>
    <mergeCell ref="G5:G6"/>
    <mergeCell ref="AP4:AX4"/>
    <mergeCell ref="V3:AD3"/>
    <mergeCell ref="K3:S3"/>
    <mergeCell ref="B5:B6"/>
    <mergeCell ref="D5:D6"/>
    <mergeCell ref="A4:H4"/>
    <mergeCell ref="H5:H6"/>
    <mergeCell ref="I4:S4"/>
    <mergeCell ref="AP1:BQ1"/>
    <mergeCell ref="D29:H29"/>
    <mergeCell ref="T3:U3"/>
    <mergeCell ref="E2:H2"/>
    <mergeCell ref="C5:C6"/>
  </mergeCells>
  <conditionalFormatting sqref="BD7:BD16">
    <cfRule type="cellIs" priority="1" operator="equal" dxfId="4">
      <formula>"Shortlisted"</formula>
    </cfRule>
  </conditionalFormatting>
  <conditionalFormatting sqref="S7:S16">
    <cfRule type="expression" priority="2" dxfId="5">
      <formula>OR($G7="",$G7=$F7)</formula>
    </cfRule>
  </conditionalFormatting>
  <conditionalFormatting sqref="AD7:AD16">
    <cfRule type="expression" priority="3" dxfId="5">
      <formula>OR($G7="",$G7=$F7)</formula>
    </cfRule>
  </conditionalFormatting>
  <conditionalFormatting sqref="AO7:AO16">
    <cfRule type="expression" priority="4" dxfId="5">
      <formula>OR($G7="",$G7=$F7)</formula>
    </cfRule>
  </conditionalFormatting>
  <conditionalFormatting sqref="BE22:BQ22">
    <cfRule type="expression" priority="5" dxfId="0">
      <formula>AND(ISNUMBER(BE22),BE22=3)</formula>
    </cfRule>
    <cfRule type="expression" priority="6" dxfId="1">
      <formula>AND(ISNUMBER(BE22),BE22=2)</formula>
    </cfRule>
    <cfRule type="expression" priority="7" dxfId="2">
      <formula>AND(ISNUMBER(BE22),BE22=1)</formula>
    </cfRule>
    <cfRule type="expression" priority="8" dxfId="3">
      <formula>AND(ISNUMBER(BE22),BE22=0)</formula>
    </cfRule>
  </conditionalFormatting>
  <dataValidations count="31">
    <dataValidation sqref="I7:I16" showDropDown="0" showInputMessage="0" showErrorMessage="1" allowBlank="0" errorTitle="Score out of range" error="Enter a score between 0 and the criterion's Max Marks (row 6)." type="decimal" operator="between">
      <formula1>0</formula1>
      <formula2>$I$6</formula2>
    </dataValidation>
    <dataValidation sqref="J7:J16" showDropDown="0" showInputMessage="0" showErrorMessage="1" allowBlank="0" errorTitle="Score out of range" error="Enter a score between 0 and the criterion's Max Marks (row 6)." type="decimal" operator="between">
      <formula1>0</formula1>
      <formula2>$J$6</formula2>
    </dataValidation>
    <dataValidation sqref="K7:K16" showDropDown="0" showInputMessage="0" showErrorMessage="1" allowBlank="0" errorTitle="Score out of range" error="Enter a score between 0 and the criterion's Max Marks (row 6)." type="decimal" operator="between">
      <formula1>0</formula1>
      <formula2>$K$6</formula2>
    </dataValidation>
    <dataValidation sqref="L7:L16" showDropDown="0" showInputMessage="0" showErrorMessage="1" allowBlank="0" errorTitle="Score out of range" error="Enter a score between 0 and the criterion's Max Marks (row 6)." type="decimal" operator="between">
      <formula1>0</formula1>
      <formula2>$L$6</formula2>
    </dataValidation>
    <dataValidation sqref="M7:M16" showDropDown="0" showInputMessage="0" showErrorMessage="1" allowBlank="0" errorTitle="Score out of range" error="Enter a score between 0 and the criterion's Max Marks (row 6)." type="decimal" operator="between">
      <formula1>0</formula1>
      <formula2>$M$6</formula2>
    </dataValidation>
    <dataValidation sqref="N7:N16" showDropDown="0" showInputMessage="0" showErrorMessage="1" allowBlank="0" errorTitle="Score out of range" error="Enter a score between 0 and the criterion's Max Marks (row 6)." type="decimal" operator="between">
      <formula1>0</formula1>
      <formula2>$N$6</formula2>
    </dataValidation>
    <dataValidation sqref="O7:O16" showDropDown="0" showInputMessage="0" showErrorMessage="1" allowBlank="0" errorTitle="Score out of range" error="Enter a score between 0 and the criterion's Max Marks (row 6)." type="decimal" operator="between">
      <formula1>0</formula1>
      <formula2>$O$6</formula2>
    </dataValidation>
    <dataValidation sqref="P7:P16" showDropDown="0" showInputMessage="0" showErrorMessage="1" allowBlank="0" errorTitle="Score out of range" error="Enter a score between 0 and the criterion's Max Marks (row 6)." type="decimal" operator="between">
      <formula1>0</formula1>
      <formula2>$P$6</formula2>
    </dataValidation>
    <dataValidation sqref="Q7:Q16" showDropDown="0" showInputMessage="0" showErrorMessage="1" allowBlank="0" errorTitle="Score out of range" error="Enter a score between 0 and the criterion's Max Marks (row 6)." type="decimal" operator="between">
      <formula1>0</formula1>
      <formula2>$Q$6</formula2>
    </dataValidation>
    <dataValidation sqref="R7:S1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T7:T16" showDropDown="0" showInputMessage="0" showErrorMessage="1" allowBlank="0" errorTitle="Score out of range" error="Enter a score between 0 and the criterion's Max Marks (row 6)." type="decimal" operator="between">
      <formula1>0</formula1>
      <formula2>$T$6</formula2>
    </dataValidation>
    <dataValidation sqref="U7:U16" showDropDown="0" showInputMessage="0" showErrorMessage="1" allowBlank="0" errorTitle="Score out of range" error="Enter a score between 0 and the criterion's Max Marks (row 6)." type="decimal" operator="between">
      <formula1>0</formula1>
      <formula2>$U$6</formula2>
    </dataValidation>
    <dataValidation sqref="V7:V16" showDropDown="0" showInputMessage="0" showErrorMessage="1" allowBlank="0" errorTitle="Score out of range" error="Enter a score between 0 and the criterion's Max Marks (row 6)." type="decimal" operator="between">
      <formula1>0</formula1>
      <formula2>$V$6</formula2>
    </dataValidation>
    <dataValidation sqref="W7:W16" showDropDown="0" showInputMessage="0" showErrorMessage="1" allowBlank="0" errorTitle="Score out of range" error="Enter a score between 0 and the criterion's Max Marks (row 6)." type="decimal" operator="between">
      <formula1>0</formula1>
      <formula2>$W$6</formula2>
    </dataValidation>
    <dataValidation sqref="X7:X16" showDropDown="0" showInputMessage="0" showErrorMessage="1" allowBlank="0" errorTitle="Score out of range" error="Enter a score between 0 and the criterion's Max Marks (row 6)." type="decimal" operator="between">
      <formula1>0</formula1>
      <formula2>$X$6</formula2>
    </dataValidation>
    <dataValidation sqref="Y7:Y16" showDropDown="0" showInputMessage="0" showErrorMessage="1" allowBlank="0" errorTitle="Score out of range" error="Enter a score between 0 and the criterion's Max Marks (row 6)." type="decimal" operator="between">
      <formula1>0</formula1>
      <formula2>$Y$6</formula2>
    </dataValidation>
    <dataValidation sqref="Z7:Z16" showDropDown="0" showInputMessage="0" showErrorMessage="1" allowBlank="0" errorTitle="Score out of range" error="Enter a score between 0 and the criterion's Max Marks (row 6)." type="decimal" operator="between">
      <formula1>0</formula1>
      <formula2>$Z$6</formula2>
    </dataValidation>
    <dataValidation sqref="AA7:AA16" showDropDown="0" showInputMessage="0" showErrorMessage="1" allowBlank="0" errorTitle="Score out of range" error="Enter a score between 0 and the criterion's Max Marks (row 6)." type="decimal" operator="between">
      <formula1>0</formula1>
      <formula2>$AA$6</formula2>
    </dataValidation>
    <dataValidation sqref="AB7:AB16" showDropDown="0" showInputMessage="0" showErrorMessage="1" allowBlank="0" errorTitle="Score out of range" error="Enter a score between 0 and the criterion's Max Marks (row 6)." type="decimal" operator="between">
      <formula1>0</formula1>
      <formula2>$AB$6</formula2>
    </dataValidation>
    <dataValidation sqref="AC7:AD1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AE7:AE16" showDropDown="0" showInputMessage="0" showErrorMessage="1" allowBlank="0" errorTitle="Score out of range" error="Enter a score between 0 and the criterion's Max Marks (row 6)." type="decimal" operator="between">
      <formula1>0</formula1>
      <formula2>$AE$6</formula2>
    </dataValidation>
    <dataValidation sqref="AF7:AF16" showDropDown="0" showInputMessage="0" showErrorMessage="1" allowBlank="0" errorTitle="Score out of range" error="Enter a score between 0 and the criterion's Max Marks (row 6)." type="decimal" operator="between">
      <formula1>0</formula1>
      <formula2>$AF$6</formula2>
    </dataValidation>
    <dataValidation sqref="AG7:AG16" showDropDown="0" showInputMessage="0" showErrorMessage="1" allowBlank="0" errorTitle="Score out of range" error="Enter a score between 0 and the criterion's Max Marks (row 6)." type="decimal" operator="between">
      <formula1>0</formula1>
      <formula2>$AG$6</formula2>
    </dataValidation>
    <dataValidation sqref="AH7:AH16" showDropDown="0" showInputMessage="0" showErrorMessage="1" allowBlank="0" errorTitle="Score out of range" error="Enter a score between 0 and the criterion's Max Marks (row 6)." type="decimal" operator="between">
      <formula1>0</formula1>
      <formula2>$AH$6</formula2>
    </dataValidation>
    <dataValidation sqref="AI7:AI16" showDropDown="0" showInputMessage="0" showErrorMessage="1" allowBlank="0" errorTitle="Score out of range" error="Enter a score between 0 and the criterion's Max Marks (row 6)." type="decimal" operator="between">
      <formula1>0</formula1>
      <formula2>$AI$6</formula2>
    </dataValidation>
    <dataValidation sqref="AJ7:AJ16" showDropDown="0" showInputMessage="0" showErrorMessage="1" allowBlank="0" errorTitle="Score out of range" error="Enter a score between 0 and the criterion's Max Marks (row 6)." type="decimal" operator="between">
      <formula1>0</formula1>
      <formula2>$AJ$6</formula2>
    </dataValidation>
    <dataValidation sqref="AK7:AK16" showDropDown="0" showInputMessage="0" showErrorMessage="1" allowBlank="0" errorTitle="Score out of range" error="Enter a score between 0 and the criterion's Max Marks (row 6)." type="decimal" operator="between">
      <formula1>0</formula1>
      <formula2>$AK$6</formula2>
    </dataValidation>
    <dataValidation sqref="AL7:AL16" showDropDown="0" showInputMessage="0" showErrorMessage="1" allowBlank="0" errorTitle="Score out of range" error="Enter a score between 0 and the criterion's Max Marks (row 6)." type="decimal" operator="between">
      <formula1>0</formula1>
      <formula2>$AL$6</formula2>
    </dataValidation>
    <dataValidation sqref="AM7:AM16" showDropDown="0" showInputMessage="0" showErrorMessage="1" allowBlank="0" errorTitle="Score out of range" error="Enter a score between 0 and the criterion's Max Marks (row 6)." type="decimal" operator="between">
      <formula1>0</formula1>
      <formula2>$AM$6</formula2>
    </dataValidation>
    <dataValidation sqref="AN7:AO1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F7:G16" showDropDown="0" showInputMessage="0" showErrorMessage="1" allowBlank="1" errorTitle="Pick an SDG" error="Select an SDG from the list." type="list">
      <formula1>SDGList</formula1>
    </dataValidation>
  </dataValidation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2E75B6"/>
    <outlinePr summaryBelow="1" summaryRight="1"/>
    <pageSetUpPr fitToPage="1"/>
  </sheetPr>
  <dimension ref="A1:BR57"/>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9" customWidth="1" min="3" max="3"/>
    <col width="30" customWidth="1" min="4" max="4"/>
    <col width="30" customWidth="1" min="5" max="5"/>
    <col width="26" customWidth="1" min="6" max="6"/>
    <col width="26" customWidth="1" min="7" max="7"/>
    <col width="34"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8.5" customWidth="1" min="17" max="17"/>
    <col width="8.5" customWidth="1" min="18" max="18"/>
    <col width="8.5" customWidth="1" min="19" max="19"/>
    <col width="8.5" customWidth="1" min="20" max="20"/>
    <col width="8.5" customWidth="1" min="21" max="21"/>
    <col width="8.5" customWidth="1" min="22" max="22"/>
    <col width="8.5" customWidth="1" min="23" max="23"/>
    <col width="8.5" customWidth="1" min="24" max="24"/>
    <col width="8.5" customWidth="1" min="25" max="25"/>
    <col width="8.5" customWidth="1" min="26" max="26"/>
    <col width="8.5" customWidth="1" min="27" max="27"/>
    <col width="8.5" customWidth="1" min="28" max="28"/>
    <col width="8.5" customWidth="1" min="29" max="29"/>
    <col width="8.5" customWidth="1" min="30" max="30"/>
    <col width="8.5" customWidth="1" min="31" max="31"/>
    <col width="8.5" customWidth="1" min="32" max="32"/>
    <col width="8.5" customWidth="1" min="33" max="33"/>
    <col width="8.5" customWidth="1" min="34" max="34"/>
    <col width="8.5" customWidth="1" min="35" max="35"/>
    <col width="8.5" customWidth="1" min="36" max="36"/>
    <col width="8.5" customWidth="1" min="37" max="37"/>
    <col width="8.5" customWidth="1" min="38" max="38"/>
    <col width="8.5" customWidth="1" min="39" max="39"/>
    <col width="8.5" customWidth="1" min="40" max="40"/>
    <col width="8.5" customWidth="1" min="41" max="41"/>
    <col width="8.5" customWidth="1" min="42" max="42"/>
    <col width="8.5" customWidth="1" min="43" max="43"/>
    <col width="8.5" customWidth="1" min="44" max="44"/>
    <col width="8.5" customWidth="1" min="45" max="45"/>
    <col width="8.5" customWidth="1" min="46" max="46"/>
    <col width="8.5" customWidth="1" min="47" max="47"/>
    <col width="8.5" customWidth="1" min="48" max="48"/>
    <col width="8.5" customWidth="1" min="49" max="49"/>
    <col width="8.5" customWidth="1" min="50" max="50"/>
    <col width="8.5" customWidth="1" min="51" max="51"/>
    <col width="8.5" customWidth="1" min="52" max="52"/>
    <col width="8.5" customWidth="1" min="53" max="53"/>
    <col width="8.5" customWidth="1" min="54" max="54"/>
    <col width="8.5" customWidth="1" min="55" max="55"/>
    <col width="14" customWidth="1" min="56" max="56"/>
    <col width="8.5" customWidth="1" min="57" max="57"/>
    <col width="8.5" customWidth="1" min="58" max="58"/>
    <col width="8.5" customWidth="1" min="59" max="59"/>
    <col width="8.5" customWidth="1" min="60" max="60"/>
    <col width="8.5" customWidth="1" min="61" max="61"/>
    <col width="8.5" customWidth="1" min="62" max="62"/>
    <col width="8.5" customWidth="1" min="63" max="63"/>
    <col width="8.5" customWidth="1" min="64" max="64"/>
    <col width="8.5" customWidth="1" min="65" max="65"/>
    <col width="8.5" customWidth="1" min="66" max="66"/>
    <col width="8.5" customWidth="1" min="67" max="67"/>
    <col width="8.5" customWidth="1" min="68" max="68"/>
    <col width="8.5" customWidth="1" min="69" max="69"/>
    <col hidden="1" width="13" customWidth="1" min="70" max="70"/>
  </cols>
  <sheetData>
    <row r="1">
      <c r="A1" s="26">
        <f>Mapping!$C$3&amp;" — 5th Semester Section A — Intra-Class Hackathon"</f>
        <v/>
      </c>
      <c r="AP1" s="9">
        <f>Mapping!$C$4&amp;" | Dept. of "&amp;Mapping!$C$5&amp;" | AY "&amp;Mapping!$C$6</f>
        <v/>
      </c>
    </row>
    <row r="2">
      <c r="A2" s="24" t="inlineStr">
        <is>
          <t>Date:</t>
        </is>
      </c>
      <c r="B2" s="29" t="n"/>
      <c r="C2" s="21" t="n"/>
      <c r="D2" s="32" t="inlineStr">
        <is>
          <t>Venue / Coordinator:</t>
        </is>
      </c>
      <c r="E2" s="6" t="n"/>
      <c r="F2" s="21" t="n"/>
      <c r="G2" s="21" t="n"/>
      <c r="H2" s="21" t="n"/>
      <c r="AP2" s="32">
        <f>"PO/PSO target per team: "&amp;TEXT(Mapping!$C$7,"0%")&amp;"  |  SDG reached at strength ≥ "&amp;Mapping!$C$12&amp;"  |  Shortlist: top "&amp;Mapping!$C$11</f>
        <v/>
      </c>
      <c r="AQ2" s="36" t="n"/>
      <c r="AR2" s="36" t="n"/>
      <c r="AS2" s="36" t="n"/>
      <c r="AT2" s="36" t="n"/>
      <c r="AU2" s="36" t="n"/>
      <c r="AV2" s="36" t="n"/>
      <c r="AW2" s="36" t="n"/>
      <c r="AX2" s="36" t="n"/>
      <c r="AY2" s="36" t="n"/>
      <c r="AZ2" s="36" t="n"/>
      <c r="BA2" s="36" t="n"/>
      <c r="BB2" s="4" t="n"/>
    </row>
    <row r="3">
      <c r="D3" s="32" t="inlineStr">
        <is>
          <t>Evaluator names →</t>
        </is>
      </c>
      <c r="I3" s="40" t="inlineStr">
        <is>
          <t>Evaluator 1:</t>
        </is>
      </c>
      <c r="J3" s="4" t="n"/>
      <c r="K3" s="6" t="n"/>
      <c r="L3" s="21" t="n"/>
      <c r="M3" s="21" t="n"/>
      <c r="N3" s="21" t="n"/>
      <c r="O3" s="21" t="n"/>
      <c r="P3" s="21" t="n"/>
      <c r="Q3" s="21" t="n"/>
      <c r="R3" s="21" t="n"/>
      <c r="S3" s="21" t="n"/>
      <c r="T3" s="41" t="inlineStr">
        <is>
          <t>Evaluator 2:</t>
        </is>
      </c>
      <c r="U3" s="4" t="n"/>
      <c r="V3" s="6" t="n"/>
      <c r="W3" s="21" t="n"/>
      <c r="X3" s="21" t="n"/>
      <c r="Y3" s="21" t="n"/>
      <c r="Z3" s="21" t="n"/>
      <c r="AA3" s="21" t="n"/>
      <c r="AB3" s="21" t="n"/>
      <c r="AC3" s="21" t="n"/>
      <c r="AD3" s="21" t="n"/>
      <c r="AE3" s="42" t="inlineStr">
        <is>
          <t>Evaluator 3:</t>
        </is>
      </c>
      <c r="AF3" s="4" t="n"/>
      <c r="AG3" s="6" t="n"/>
      <c r="AH3" s="21" t="n"/>
      <c r="AI3" s="21" t="n"/>
      <c r="AJ3" s="21" t="n"/>
      <c r="AK3" s="21" t="n"/>
      <c r="AL3" s="21" t="n"/>
      <c r="AM3" s="21" t="n"/>
      <c r="AN3" s="21" t="n"/>
      <c r="AO3" s="21" t="n"/>
    </row>
    <row r="4" ht="30" customHeight="1">
      <c r="A4" s="9" t="inlineStr">
        <is>
          <t>Team Details (Coordinator)</t>
        </is>
      </c>
      <c r="B4" s="21" t="n"/>
      <c r="C4" s="21" t="n"/>
      <c r="D4" s="21" t="n"/>
      <c r="E4" s="21" t="n"/>
      <c r="F4" s="21" t="n"/>
      <c r="G4" s="21" t="n"/>
      <c r="H4" s="21" t="n"/>
      <c r="I4" s="43" t="inlineStr">
        <is>
          <t>Evaluator 1 — rubric marks, then SDG contribution strength (0–3)</t>
        </is>
      </c>
      <c r="J4" s="21" t="n"/>
      <c r="K4" s="21" t="n"/>
      <c r="L4" s="21" t="n"/>
      <c r="M4" s="21" t="n"/>
      <c r="N4" s="21" t="n"/>
      <c r="O4" s="21" t="n"/>
      <c r="P4" s="21" t="n"/>
      <c r="Q4" s="21" t="n"/>
      <c r="R4" s="21" t="n"/>
      <c r="S4" s="21" t="n"/>
      <c r="T4" s="44" t="inlineStr">
        <is>
          <t>Evaluator 2 — rubric marks, then SDG contribution strength (0–3)</t>
        </is>
      </c>
      <c r="U4" s="21" t="n"/>
      <c r="V4" s="21" t="n"/>
      <c r="W4" s="21" t="n"/>
      <c r="X4" s="21" t="n"/>
      <c r="Y4" s="21" t="n"/>
      <c r="Z4" s="21" t="n"/>
      <c r="AA4" s="21" t="n"/>
      <c r="AB4" s="21" t="n"/>
      <c r="AC4" s="21" t="n"/>
      <c r="AD4" s="21" t="n"/>
      <c r="AE4" s="45" t="inlineStr">
        <is>
          <t>Evaluator 3 — rubric marks, then SDG contribution strength (0–3)</t>
        </is>
      </c>
      <c r="AF4" s="21" t="n"/>
      <c r="AG4" s="21" t="n"/>
      <c r="AH4" s="21" t="n"/>
      <c r="AI4" s="21" t="n"/>
      <c r="AJ4" s="21" t="n"/>
      <c r="AK4" s="21" t="n"/>
      <c r="AL4" s="21" t="n"/>
      <c r="AM4" s="21" t="n"/>
      <c r="AN4" s="21" t="n"/>
      <c r="AO4" s="21" t="n"/>
      <c r="AP4" s="46" t="inlineStr">
        <is>
          <t>Consolidated rubric score (average of evaluators)</t>
        </is>
      </c>
      <c r="AQ4" s="21" t="n"/>
      <c r="AR4" s="21" t="n"/>
      <c r="AS4" s="21" t="n"/>
      <c r="AT4" s="21" t="n"/>
      <c r="AU4" s="21" t="n"/>
      <c r="AV4" s="21" t="n"/>
      <c r="AW4" s="21" t="n"/>
      <c r="AX4" s="21" t="n"/>
      <c r="AY4" s="16" t="inlineStr">
        <is>
          <t>SDG strength (avg, 0–3)</t>
        </is>
      </c>
      <c r="AZ4" s="21" t="n"/>
      <c r="BA4" s="2" t="inlineStr">
        <is>
          <t>Result</t>
        </is>
      </c>
      <c r="BB4" s="21" t="n"/>
      <c r="BC4" s="21" t="n"/>
      <c r="BD4" s="21" t="n"/>
      <c r="BE4" s="9" t="inlineStr">
        <is>
          <t>Programme Outcome attainment per team (%)</t>
        </is>
      </c>
      <c r="BF4" s="21" t="n"/>
      <c r="BG4" s="21" t="n"/>
      <c r="BH4" s="21" t="n"/>
      <c r="BI4" s="21" t="n"/>
      <c r="BJ4" s="21" t="n"/>
      <c r="BK4" s="21" t="n"/>
      <c r="BL4" s="21" t="n"/>
      <c r="BM4" s="21" t="n"/>
      <c r="BN4" s="21" t="n"/>
      <c r="BO4" s="21" t="n"/>
      <c r="BP4" s="38" t="inlineStr">
        <is>
          <t>PSO attainment (%)</t>
        </is>
      </c>
      <c r="BQ4" s="21" t="n"/>
    </row>
    <row r="5" ht="48" customHeight="1">
      <c r="A5" s="9" t="inlineStr">
        <is>
          <t>S.No</t>
        </is>
      </c>
      <c r="B5" s="9" t="inlineStr">
        <is>
          <t>Section</t>
        </is>
      </c>
      <c r="C5" s="9" t="inlineStr">
        <is>
          <t>Team ID</t>
        </is>
      </c>
      <c r="D5" s="9" t="inlineStr">
        <is>
          <t>Team Name</t>
        </is>
      </c>
      <c r="E5" s="9" t="inlineStr">
        <is>
          <t>Team Members (USN / Name)</t>
        </is>
      </c>
      <c r="F5" s="9" t="inlineStr">
        <is>
          <t>Primary SDG</t>
        </is>
      </c>
      <c r="G5" s="9" t="inlineStr">
        <is>
          <t>Secondary SDG (optional)</t>
        </is>
      </c>
      <c r="H5" s="9" t="inlineStr">
        <is>
          <t>Problem Statement / Project Title</t>
        </is>
      </c>
      <c r="I5" s="47">
        <f>Rubric!C4</f>
        <v/>
      </c>
      <c r="J5" s="47">
        <f>Rubric!C5</f>
        <v/>
      </c>
      <c r="K5" s="47">
        <f>Rubric!C6</f>
        <v/>
      </c>
      <c r="L5" s="47">
        <f>Rubric!C7</f>
        <v/>
      </c>
      <c r="M5" s="47">
        <f>Rubric!C8</f>
        <v/>
      </c>
      <c r="N5" s="47">
        <f>Rubric!C9</f>
        <v/>
      </c>
      <c r="O5" s="47">
        <f>Rubric!C10</f>
        <v/>
      </c>
      <c r="P5" s="47">
        <f>Rubric!C11</f>
        <v/>
      </c>
      <c r="Q5" s="47">
        <f>Rubric!C12</f>
        <v/>
      </c>
      <c r="R5" s="48" t="inlineStr">
        <is>
          <t>Primary SDG strength</t>
        </is>
      </c>
      <c r="S5" s="48" t="inlineStr">
        <is>
          <t>Secondary SDG strength</t>
        </is>
      </c>
      <c r="T5" s="49">
        <f>Rubric!C4</f>
        <v/>
      </c>
      <c r="U5" s="49">
        <f>Rubric!C5</f>
        <v/>
      </c>
      <c r="V5" s="49">
        <f>Rubric!C6</f>
        <v/>
      </c>
      <c r="W5" s="49">
        <f>Rubric!C7</f>
        <v/>
      </c>
      <c r="X5" s="49">
        <f>Rubric!C8</f>
        <v/>
      </c>
      <c r="Y5" s="49">
        <f>Rubric!C9</f>
        <v/>
      </c>
      <c r="Z5" s="49">
        <f>Rubric!C10</f>
        <v/>
      </c>
      <c r="AA5" s="49">
        <f>Rubric!C11</f>
        <v/>
      </c>
      <c r="AB5" s="49">
        <f>Rubric!C12</f>
        <v/>
      </c>
      <c r="AC5" s="48" t="inlineStr">
        <is>
          <t>Primary SDG strength</t>
        </is>
      </c>
      <c r="AD5" s="48" t="inlineStr">
        <is>
          <t>Secondary SDG strength</t>
        </is>
      </c>
      <c r="AE5" s="50">
        <f>Rubric!C4</f>
        <v/>
      </c>
      <c r="AF5" s="50">
        <f>Rubric!C5</f>
        <v/>
      </c>
      <c r="AG5" s="50">
        <f>Rubric!C6</f>
        <v/>
      </c>
      <c r="AH5" s="50">
        <f>Rubric!C7</f>
        <v/>
      </c>
      <c r="AI5" s="50">
        <f>Rubric!C8</f>
        <v/>
      </c>
      <c r="AJ5" s="50">
        <f>Rubric!C9</f>
        <v/>
      </c>
      <c r="AK5" s="50">
        <f>Rubric!C10</f>
        <v/>
      </c>
      <c r="AL5" s="50">
        <f>Rubric!C11</f>
        <v/>
      </c>
      <c r="AM5" s="50">
        <f>Rubric!C12</f>
        <v/>
      </c>
      <c r="AN5" s="48" t="inlineStr">
        <is>
          <t>Primary SDG strength</t>
        </is>
      </c>
      <c r="AO5" s="48" t="inlineStr">
        <is>
          <t>Secondary SDG strength</t>
        </is>
      </c>
      <c r="AP5" s="51">
        <f>Rubric!C4</f>
        <v/>
      </c>
      <c r="AQ5" s="51">
        <f>Rubric!C5</f>
        <v/>
      </c>
      <c r="AR5" s="51">
        <f>Rubric!C6</f>
        <v/>
      </c>
      <c r="AS5" s="51">
        <f>Rubric!C7</f>
        <v/>
      </c>
      <c r="AT5" s="51">
        <f>Rubric!C8</f>
        <v/>
      </c>
      <c r="AU5" s="51">
        <f>Rubric!C9</f>
        <v/>
      </c>
      <c r="AV5" s="51">
        <f>Rubric!C10</f>
        <v/>
      </c>
      <c r="AW5" s="51">
        <f>Rubric!C11</f>
        <v/>
      </c>
      <c r="AX5" s="51">
        <f>Rubric!C12</f>
        <v/>
      </c>
      <c r="AY5" s="48" t="inlineStr">
        <is>
          <t>Primary SDG strength</t>
        </is>
      </c>
      <c r="AZ5" s="48" t="inlineStr">
        <is>
          <t>Secondary SDG strength</t>
        </is>
      </c>
      <c r="BA5" s="7" t="inlineStr">
        <is>
          <t>Total</t>
        </is>
      </c>
      <c r="BB5" s="7" t="inlineStr">
        <is>
          <t>Score %</t>
        </is>
      </c>
      <c r="BC5" s="7" t="inlineStr">
        <is>
          <t>Rank</t>
        </is>
      </c>
      <c r="BD5" s="7" t="inlineStr">
        <is>
          <t>Status</t>
        </is>
      </c>
      <c r="BE5" s="10" t="inlineStr">
        <is>
          <t>PO1</t>
        </is>
      </c>
      <c r="BF5" s="10" t="inlineStr">
        <is>
          <t>PO2</t>
        </is>
      </c>
      <c r="BG5" s="10" t="inlineStr">
        <is>
          <t>PO3</t>
        </is>
      </c>
      <c r="BH5" s="10" t="inlineStr">
        <is>
          <t>PO4</t>
        </is>
      </c>
      <c r="BI5" s="10" t="inlineStr">
        <is>
          <t>PO5</t>
        </is>
      </c>
      <c r="BJ5" s="10" t="inlineStr">
        <is>
          <t>PO6</t>
        </is>
      </c>
      <c r="BK5" s="10" t="inlineStr">
        <is>
          <t>PO7</t>
        </is>
      </c>
      <c r="BL5" s="10" t="inlineStr">
        <is>
          <t>PO8</t>
        </is>
      </c>
      <c r="BM5" s="10" t="inlineStr">
        <is>
          <t>PO9</t>
        </is>
      </c>
      <c r="BN5" s="10" t="inlineStr">
        <is>
          <t>PO10</t>
        </is>
      </c>
      <c r="BO5" s="10" t="inlineStr">
        <is>
          <t>PO11</t>
        </is>
      </c>
      <c r="BP5" s="10" t="inlineStr">
        <is>
          <t>PSO1</t>
        </is>
      </c>
      <c r="BQ5" s="10" t="inlineStr">
        <is>
          <t>PSO2</t>
        </is>
      </c>
    </row>
    <row r="6">
      <c r="A6" s="21" t="n"/>
      <c r="B6" s="21" t="n"/>
      <c r="C6" s="21" t="n"/>
      <c r="D6" s="21" t="n"/>
      <c r="E6" s="21" t="n"/>
      <c r="F6" s="21" t="n"/>
      <c r="G6" s="21" t="n"/>
      <c r="H6" s="21" t="n"/>
      <c r="I6" s="52">
        <f>Rubric!D4</f>
        <v/>
      </c>
      <c r="J6" s="52">
        <f>Rubric!D5</f>
        <v/>
      </c>
      <c r="K6" s="52">
        <f>Rubric!D6</f>
        <v/>
      </c>
      <c r="L6" s="52">
        <f>Rubric!D7</f>
        <v/>
      </c>
      <c r="M6" s="52">
        <f>Rubric!D8</f>
        <v/>
      </c>
      <c r="N6" s="52">
        <f>Rubric!D9</f>
        <v/>
      </c>
      <c r="O6" s="52">
        <f>Rubric!D10</f>
        <v/>
      </c>
      <c r="P6" s="52">
        <f>Rubric!D11</f>
        <v/>
      </c>
      <c r="Q6" s="52">
        <f>Rubric!D12</f>
        <v/>
      </c>
      <c r="R6" s="53" t="inlineStr">
        <is>
          <t>0–3</t>
        </is>
      </c>
      <c r="S6" s="53" t="inlineStr">
        <is>
          <t>0–3</t>
        </is>
      </c>
      <c r="T6" s="54">
        <f>Rubric!D4</f>
        <v/>
      </c>
      <c r="U6" s="54">
        <f>Rubric!D5</f>
        <v/>
      </c>
      <c r="V6" s="54">
        <f>Rubric!D6</f>
        <v/>
      </c>
      <c r="W6" s="54">
        <f>Rubric!D7</f>
        <v/>
      </c>
      <c r="X6" s="54">
        <f>Rubric!D8</f>
        <v/>
      </c>
      <c r="Y6" s="54">
        <f>Rubric!D9</f>
        <v/>
      </c>
      <c r="Z6" s="54">
        <f>Rubric!D10</f>
        <v/>
      </c>
      <c r="AA6" s="54">
        <f>Rubric!D11</f>
        <v/>
      </c>
      <c r="AB6" s="54">
        <f>Rubric!D12</f>
        <v/>
      </c>
      <c r="AC6" s="53" t="inlineStr">
        <is>
          <t>0–3</t>
        </is>
      </c>
      <c r="AD6" s="53" t="inlineStr">
        <is>
          <t>0–3</t>
        </is>
      </c>
      <c r="AE6" s="55">
        <f>Rubric!D4</f>
        <v/>
      </c>
      <c r="AF6" s="55">
        <f>Rubric!D5</f>
        <v/>
      </c>
      <c r="AG6" s="55">
        <f>Rubric!D6</f>
        <v/>
      </c>
      <c r="AH6" s="55">
        <f>Rubric!D7</f>
        <v/>
      </c>
      <c r="AI6" s="55">
        <f>Rubric!D8</f>
        <v/>
      </c>
      <c r="AJ6" s="55">
        <f>Rubric!D9</f>
        <v/>
      </c>
      <c r="AK6" s="55">
        <f>Rubric!D10</f>
        <v/>
      </c>
      <c r="AL6" s="55">
        <f>Rubric!D11</f>
        <v/>
      </c>
      <c r="AM6" s="55">
        <f>Rubric!D12</f>
        <v/>
      </c>
      <c r="AN6" s="53" t="inlineStr">
        <is>
          <t>0–3</t>
        </is>
      </c>
      <c r="AO6" s="53" t="inlineStr">
        <is>
          <t>0–3</t>
        </is>
      </c>
      <c r="AP6" s="56">
        <f>Rubric!D4</f>
        <v/>
      </c>
      <c r="AQ6" s="56">
        <f>Rubric!D5</f>
        <v/>
      </c>
      <c r="AR6" s="56">
        <f>Rubric!D6</f>
        <v/>
      </c>
      <c r="AS6" s="56">
        <f>Rubric!D7</f>
        <v/>
      </c>
      <c r="AT6" s="56">
        <f>Rubric!D8</f>
        <v/>
      </c>
      <c r="AU6" s="56">
        <f>Rubric!D9</f>
        <v/>
      </c>
      <c r="AV6" s="56">
        <f>Rubric!D10</f>
        <v/>
      </c>
      <c r="AW6" s="56">
        <f>Rubric!D11</f>
        <v/>
      </c>
      <c r="AX6" s="56">
        <f>Rubric!D12</f>
        <v/>
      </c>
      <c r="AY6" s="53" t="inlineStr">
        <is>
          <t>0–3</t>
        </is>
      </c>
      <c r="AZ6" s="53" t="inlineStr">
        <is>
          <t>0–3</t>
        </is>
      </c>
      <c r="BA6" s="7">
        <f>Rubric!$D$13</f>
        <v/>
      </c>
      <c r="BB6" s="57" t="inlineStr"/>
      <c r="BC6" s="57" t="inlineStr"/>
      <c r="BD6" s="57" t="inlineStr"/>
      <c r="BE6" s="58" t="inlineStr">
        <is>
          <t>%</t>
        </is>
      </c>
      <c r="BF6" s="58" t="inlineStr">
        <is>
          <t>%</t>
        </is>
      </c>
      <c r="BG6" s="58" t="inlineStr">
        <is>
          <t>%</t>
        </is>
      </c>
      <c r="BH6" s="58" t="inlineStr">
        <is>
          <t>%</t>
        </is>
      </c>
      <c r="BI6" s="58" t="inlineStr">
        <is>
          <t>%</t>
        </is>
      </c>
      <c r="BJ6" s="58" t="inlineStr">
        <is>
          <t>%</t>
        </is>
      </c>
      <c r="BK6" s="58" t="inlineStr">
        <is>
          <t>%</t>
        </is>
      </c>
      <c r="BL6" s="58" t="inlineStr">
        <is>
          <t>%</t>
        </is>
      </c>
      <c r="BM6" s="58" t="inlineStr">
        <is>
          <t>%</t>
        </is>
      </c>
      <c r="BN6" s="58" t="inlineStr">
        <is>
          <t>%</t>
        </is>
      </c>
      <c r="BO6" s="58" t="inlineStr">
        <is>
          <t>%</t>
        </is>
      </c>
      <c r="BP6" s="58" t="inlineStr">
        <is>
          <t>%</t>
        </is>
      </c>
      <c r="BQ6" s="58" t="inlineStr">
        <is>
          <t>%</t>
        </is>
      </c>
    </row>
    <row r="7" ht="30" customHeight="1">
      <c r="A7" s="28" t="n">
        <v>1</v>
      </c>
      <c r="B7" s="29" t="inlineStr">
        <is>
          <t>5th Sem - A</t>
        </is>
      </c>
      <c r="C7" s="29" t="n"/>
      <c r="D7" s="6" t="n"/>
      <c r="E7" s="6" t="n"/>
      <c r="F7" s="29" t="n"/>
      <c r="G7" s="29" t="n"/>
      <c r="H7" s="6" t="n"/>
      <c r="I7" s="29" t="n"/>
      <c r="J7" s="29" t="n"/>
      <c r="K7" s="29" t="n"/>
      <c r="L7" s="29" t="n"/>
      <c r="M7" s="29" t="n"/>
      <c r="N7" s="29" t="n"/>
      <c r="O7" s="29" t="n"/>
      <c r="P7" s="29" t="n"/>
      <c r="Q7" s="29" t="n"/>
      <c r="R7" s="29" t="n"/>
      <c r="S7" s="29" t="n"/>
      <c r="T7" s="29" t="n"/>
      <c r="U7" s="29" t="n"/>
      <c r="V7" s="29" t="n"/>
      <c r="W7" s="29" t="n"/>
      <c r="X7" s="29" t="n"/>
      <c r="Y7" s="29" t="n"/>
      <c r="Z7" s="29" t="n"/>
      <c r="AA7" s="29" t="n"/>
      <c r="AB7" s="29" t="n"/>
      <c r="AC7" s="29" t="n"/>
      <c r="AD7" s="29" t="n"/>
      <c r="AE7" s="29" t="n"/>
      <c r="AF7" s="29" t="n"/>
      <c r="AG7" s="29" t="n"/>
      <c r="AH7" s="29" t="n"/>
      <c r="AI7" s="29" t="n"/>
      <c r="AJ7" s="29" t="n"/>
      <c r="AK7" s="29" t="n"/>
      <c r="AL7" s="29" t="n"/>
      <c r="AM7" s="29" t="n"/>
      <c r="AN7" s="29" t="n"/>
      <c r="AO7" s="29" t="n"/>
      <c r="AP7" s="59">
        <f>IF(COUNT(I7,T7,AE7)=0,"",AVERAGE(I7,T7,AE7))</f>
        <v/>
      </c>
      <c r="AQ7" s="59">
        <f>IF(COUNT(J7,U7,AF7)=0,"",AVERAGE(J7,U7,AF7))</f>
        <v/>
      </c>
      <c r="AR7" s="59">
        <f>IF(COUNT(K7,V7,AG7)=0,"",AVERAGE(K7,V7,AG7))</f>
        <v/>
      </c>
      <c r="AS7" s="59">
        <f>IF(COUNT(L7,W7,AH7)=0,"",AVERAGE(L7,W7,AH7))</f>
        <v/>
      </c>
      <c r="AT7" s="59">
        <f>IF(COUNT(M7,X7,AI7)=0,"",AVERAGE(M7,X7,AI7))</f>
        <v/>
      </c>
      <c r="AU7" s="59">
        <f>IF(COUNT(N7,Y7,AJ7)=0,"",AVERAGE(N7,Y7,AJ7))</f>
        <v/>
      </c>
      <c r="AV7" s="59">
        <f>IF(COUNT(O7,Z7,AK7)=0,"",AVERAGE(O7,Z7,AK7))</f>
        <v/>
      </c>
      <c r="AW7" s="59">
        <f>IF(COUNT(P7,AA7,AL7)=0,"",AVERAGE(P7,AA7,AL7))</f>
        <v/>
      </c>
      <c r="AX7" s="59">
        <f>IF(COUNT(Q7,AB7,AM7)=0,"",AVERAGE(Q7,AB7,AM7))</f>
        <v/>
      </c>
      <c r="AY7" s="60">
        <f>IF(OR($F7="",COUNT(R7,AC7,AN7)=0),"",AVERAGE(R7,AC7,AN7))</f>
        <v/>
      </c>
      <c r="AZ7" s="60">
        <f>IF(OR($G7="",$G7=$F7,COUNT(S7,AD7,AO7)=0),"",AVERAGE(S7,AD7,AO7))</f>
        <v/>
      </c>
      <c r="BA7" s="61">
        <f>IF(COUNT(AP7:AX7)=0,"",SUM(AP7:AX7))</f>
        <v/>
      </c>
      <c r="BB7" s="62">
        <f>IF(BA7="","",BA7/BA$6)</f>
        <v/>
      </c>
      <c r="BC7" s="14">
        <f>IF(BR7="","",COUNTIF($BR$7:$BR$26,"&gt;"&amp;BR7)+COUNTIF($BR$7:BR7,BR7))</f>
        <v/>
      </c>
      <c r="BD7" s="63">
        <f>IF(BC7="","",IF(BC7&lt;=Mapping!$C$11,"Shortlisted","Not shortlisted"))</f>
        <v/>
      </c>
      <c r="BE7" s="64">
        <f>IFERROR((AP7/AP$6*Mapping!$D$15+AQ7/AQ$6*Mapping!$D$16+AR7/AR$6*Mapping!$D$17+AS7/AS$6*Mapping!$D$18+AT7/AT$6*Mapping!$D$19+AU7/AU$6*Mapping!$D$20+AV7/AV$6*Mapping!$D$21+AW7/AW$6*Mapping!$D$22+AX7/AX$6*Mapping!$D$23)/SUM(Mapping!$D$15:$D$23),"")</f>
        <v/>
      </c>
      <c r="BF7" s="64">
        <f>IFERROR((AP7/AP$6*Mapping!$E$15+AQ7/AQ$6*Mapping!$E$16+AR7/AR$6*Mapping!$E$17+AS7/AS$6*Mapping!$E$18+AT7/AT$6*Mapping!$E$19+AU7/AU$6*Mapping!$E$20+AV7/AV$6*Mapping!$E$21+AW7/AW$6*Mapping!$E$22+AX7/AX$6*Mapping!$E$23)/SUM(Mapping!$E$15:$E$23),"")</f>
        <v/>
      </c>
      <c r="BG7" s="64">
        <f>IFERROR((AP7/AP$6*Mapping!$F$15+AQ7/AQ$6*Mapping!$F$16+AR7/AR$6*Mapping!$F$17+AS7/AS$6*Mapping!$F$18+AT7/AT$6*Mapping!$F$19+AU7/AU$6*Mapping!$F$20+AV7/AV$6*Mapping!$F$21+AW7/AW$6*Mapping!$F$22+AX7/AX$6*Mapping!$F$23)/SUM(Mapping!$F$15:$F$23),"")</f>
        <v/>
      </c>
      <c r="BH7" s="64">
        <f>IFERROR((AP7/AP$6*Mapping!$G$15+AQ7/AQ$6*Mapping!$G$16+AR7/AR$6*Mapping!$G$17+AS7/AS$6*Mapping!$G$18+AT7/AT$6*Mapping!$G$19+AU7/AU$6*Mapping!$G$20+AV7/AV$6*Mapping!$G$21+AW7/AW$6*Mapping!$G$22+AX7/AX$6*Mapping!$G$23)/SUM(Mapping!$G$15:$G$23),"")</f>
        <v/>
      </c>
      <c r="BI7" s="64">
        <f>IFERROR((AP7/AP$6*Mapping!$H$15+AQ7/AQ$6*Mapping!$H$16+AR7/AR$6*Mapping!$H$17+AS7/AS$6*Mapping!$H$18+AT7/AT$6*Mapping!$H$19+AU7/AU$6*Mapping!$H$20+AV7/AV$6*Mapping!$H$21+AW7/AW$6*Mapping!$H$22+AX7/AX$6*Mapping!$H$23)/SUM(Mapping!$H$15:$H$23),"")</f>
        <v/>
      </c>
      <c r="BJ7" s="64">
        <f>IFERROR((AP7/AP$6*Mapping!$I$15+AQ7/AQ$6*Mapping!$I$16+AR7/AR$6*Mapping!$I$17+AS7/AS$6*Mapping!$I$18+AT7/AT$6*Mapping!$I$19+AU7/AU$6*Mapping!$I$20+AV7/AV$6*Mapping!$I$21+AW7/AW$6*Mapping!$I$22+AX7/AX$6*Mapping!$I$23)/SUM(Mapping!$I$15:$I$23),"")</f>
        <v/>
      </c>
      <c r="BK7" s="64">
        <f>IFERROR((AP7/AP$6*Mapping!$J$15+AQ7/AQ$6*Mapping!$J$16+AR7/AR$6*Mapping!$J$17+AS7/AS$6*Mapping!$J$18+AT7/AT$6*Mapping!$J$19+AU7/AU$6*Mapping!$J$20+AV7/AV$6*Mapping!$J$21+AW7/AW$6*Mapping!$J$22+AX7/AX$6*Mapping!$J$23)/SUM(Mapping!$J$15:$J$23),"")</f>
        <v/>
      </c>
      <c r="BL7" s="64">
        <f>IFERROR((AP7/AP$6*Mapping!$K$15+AQ7/AQ$6*Mapping!$K$16+AR7/AR$6*Mapping!$K$17+AS7/AS$6*Mapping!$K$18+AT7/AT$6*Mapping!$K$19+AU7/AU$6*Mapping!$K$20+AV7/AV$6*Mapping!$K$21+AW7/AW$6*Mapping!$K$22+AX7/AX$6*Mapping!$K$23)/SUM(Mapping!$K$15:$K$23),"")</f>
        <v/>
      </c>
      <c r="BM7" s="64">
        <f>IFERROR((AP7/AP$6*Mapping!$L$15+AQ7/AQ$6*Mapping!$L$16+AR7/AR$6*Mapping!$L$17+AS7/AS$6*Mapping!$L$18+AT7/AT$6*Mapping!$L$19+AU7/AU$6*Mapping!$L$20+AV7/AV$6*Mapping!$L$21+AW7/AW$6*Mapping!$L$22+AX7/AX$6*Mapping!$L$23)/SUM(Mapping!$L$15:$L$23),"")</f>
        <v/>
      </c>
      <c r="BN7" s="64">
        <f>IFERROR((AP7/AP$6*Mapping!$M$15+AQ7/AQ$6*Mapping!$M$16+AR7/AR$6*Mapping!$M$17+AS7/AS$6*Mapping!$M$18+AT7/AT$6*Mapping!$M$19+AU7/AU$6*Mapping!$M$20+AV7/AV$6*Mapping!$M$21+AW7/AW$6*Mapping!$M$22+AX7/AX$6*Mapping!$M$23)/SUM(Mapping!$M$15:$M$23),"")</f>
        <v/>
      </c>
      <c r="BO7" s="64">
        <f>IFERROR((AP7/AP$6*Mapping!$N$15+AQ7/AQ$6*Mapping!$N$16+AR7/AR$6*Mapping!$N$17+AS7/AS$6*Mapping!$N$18+AT7/AT$6*Mapping!$N$19+AU7/AU$6*Mapping!$N$20+AV7/AV$6*Mapping!$N$21+AW7/AW$6*Mapping!$N$22+AX7/AX$6*Mapping!$N$23)/SUM(Mapping!$N$15:$N$23),"")</f>
        <v/>
      </c>
      <c r="BP7" s="64">
        <f>IFERROR((AP7/AP$6*Mapping!$O$15+AQ7/AQ$6*Mapping!$O$16+AR7/AR$6*Mapping!$O$17+AS7/AS$6*Mapping!$O$18+AT7/AT$6*Mapping!$O$19+AU7/AU$6*Mapping!$O$20+AV7/AV$6*Mapping!$O$21+AW7/AW$6*Mapping!$O$22+AX7/AX$6*Mapping!$O$23)/SUM(Mapping!$O$15:$O$23),"")</f>
        <v/>
      </c>
      <c r="BQ7" s="64">
        <f>IFERROR((AP7/AP$6*Mapping!$P$15+AQ7/AQ$6*Mapping!$P$16+AR7/AR$6*Mapping!$P$17+AS7/AS$6*Mapping!$P$18+AT7/AT$6*Mapping!$P$19+AU7/AU$6*Mapping!$P$20+AV7/AV$6*Mapping!$P$21+AW7/AW$6*Mapping!$P$22+AX7/AX$6*Mapping!$P$23)/SUM(Mapping!$P$15:$P$23),"")</f>
        <v/>
      </c>
      <c r="BR7" s="65">
        <f>IF(BA7="","",BA7+N(AS7)/10000)</f>
        <v/>
      </c>
    </row>
    <row r="8" ht="30" customHeight="1">
      <c r="A8" s="28" t="n">
        <v>2</v>
      </c>
      <c r="B8" s="29" t="inlineStr">
        <is>
          <t>5th Sem - A</t>
        </is>
      </c>
      <c r="C8" s="29" t="n"/>
      <c r="D8" s="6" t="n"/>
      <c r="E8" s="6" t="n"/>
      <c r="F8" s="29" t="n"/>
      <c r="G8" s="29" t="n"/>
      <c r="H8" s="6" t="n"/>
      <c r="I8" s="29" t="n"/>
      <c r="J8" s="29" t="n"/>
      <c r="K8" s="29" t="n"/>
      <c r="L8" s="29" t="n"/>
      <c r="M8" s="29" t="n"/>
      <c r="N8" s="29" t="n"/>
      <c r="O8" s="29" t="n"/>
      <c r="P8" s="29" t="n"/>
      <c r="Q8" s="29" t="n"/>
      <c r="R8" s="29" t="n"/>
      <c r="S8" s="29" t="n"/>
      <c r="T8" s="29" t="n"/>
      <c r="U8" s="29" t="n"/>
      <c r="V8" s="29" t="n"/>
      <c r="W8" s="29" t="n"/>
      <c r="X8" s="29" t="n"/>
      <c r="Y8" s="29" t="n"/>
      <c r="Z8" s="29" t="n"/>
      <c r="AA8" s="29" t="n"/>
      <c r="AB8" s="29" t="n"/>
      <c r="AC8" s="29" t="n"/>
      <c r="AD8" s="29" t="n"/>
      <c r="AE8" s="29" t="n"/>
      <c r="AF8" s="29" t="n"/>
      <c r="AG8" s="29" t="n"/>
      <c r="AH8" s="29" t="n"/>
      <c r="AI8" s="29" t="n"/>
      <c r="AJ8" s="29" t="n"/>
      <c r="AK8" s="29" t="n"/>
      <c r="AL8" s="29" t="n"/>
      <c r="AM8" s="29" t="n"/>
      <c r="AN8" s="29" t="n"/>
      <c r="AO8" s="29" t="n"/>
      <c r="AP8" s="59">
        <f>IF(COUNT(I8,T8,AE8)=0,"",AVERAGE(I8,T8,AE8))</f>
        <v/>
      </c>
      <c r="AQ8" s="59">
        <f>IF(COUNT(J8,U8,AF8)=0,"",AVERAGE(J8,U8,AF8))</f>
        <v/>
      </c>
      <c r="AR8" s="59">
        <f>IF(COUNT(K8,V8,AG8)=0,"",AVERAGE(K8,V8,AG8))</f>
        <v/>
      </c>
      <c r="AS8" s="59">
        <f>IF(COUNT(L8,W8,AH8)=0,"",AVERAGE(L8,W8,AH8))</f>
        <v/>
      </c>
      <c r="AT8" s="59">
        <f>IF(COUNT(M8,X8,AI8)=0,"",AVERAGE(M8,X8,AI8))</f>
        <v/>
      </c>
      <c r="AU8" s="59">
        <f>IF(COUNT(N8,Y8,AJ8)=0,"",AVERAGE(N8,Y8,AJ8))</f>
        <v/>
      </c>
      <c r="AV8" s="59">
        <f>IF(COUNT(O8,Z8,AK8)=0,"",AVERAGE(O8,Z8,AK8))</f>
        <v/>
      </c>
      <c r="AW8" s="59">
        <f>IF(COUNT(P8,AA8,AL8)=0,"",AVERAGE(P8,AA8,AL8))</f>
        <v/>
      </c>
      <c r="AX8" s="59">
        <f>IF(COUNT(Q8,AB8,AM8)=0,"",AVERAGE(Q8,AB8,AM8))</f>
        <v/>
      </c>
      <c r="AY8" s="60">
        <f>IF(OR($F8="",COUNT(R8,AC8,AN8)=0),"",AVERAGE(R8,AC8,AN8))</f>
        <v/>
      </c>
      <c r="AZ8" s="60">
        <f>IF(OR($G8="",$G8=$F8,COUNT(S8,AD8,AO8)=0),"",AVERAGE(S8,AD8,AO8))</f>
        <v/>
      </c>
      <c r="BA8" s="61">
        <f>IF(COUNT(AP8:AX8)=0,"",SUM(AP8:AX8))</f>
        <v/>
      </c>
      <c r="BB8" s="62">
        <f>IF(BA8="","",BA8/BA$6)</f>
        <v/>
      </c>
      <c r="BC8" s="14">
        <f>IF(BR8="","",COUNTIF($BR$7:$BR$26,"&gt;"&amp;BR8)+COUNTIF($BR$7:BR8,BR8))</f>
        <v/>
      </c>
      <c r="BD8" s="63">
        <f>IF(BC8="","",IF(BC8&lt;=Mapping!$C$11,"Shortlisted","Not shortlisted"))</f>
        <v/>
      </c>
      <c r="BE8" s="64">
        <f>IFERROR((AP8/AP$6*Mapping!$D$15+AQ8/AQ$6*Mapping!$D$16+AR8/AR$6*Mapping!$D$17+AS8/AS$6*Mapping!$D$18+AT8/AT$6*Mapping!$D$19+AU8/AU$6*Mapping!$D$20+AV8/AV$6*Mapping!$D$21+AW8/AW$6*Mapping!$D$22+AX8/AX$6*Mapping!$D$23)/SUM(Mapping!$D$15:$D$23),"")</f>
        <v/>
      </c>
      <c r="BF8" s="64">
        <f>IFERROR((AP8/AP$6*Mapping!$E$15+AQ8/AQ$6*Mapping!$E$16+AR8/AR$6*Mapping!$E$17+AS8/AS$6*Mapping!$E$18+AT8/AT$6*Mapping!$E$19+AU8/AU$6*Mapping!$E$20+AV8/AV$6*Mapping!$E$21+AW8/AW$6*Mapping!$E$22+AX8/AX$6*Mapping!$E$23)/SUM(Mapping!$E$15:$E$23),"")</f>
        <v/>
      </c>
      <c r="BG8" s="64">
        <f>IFERROR((AP8/AP$6*Mapping!$F$15+AQ8/AQ$6*Mapping!$F$16+AR8/AR$6*Mapping!$F$17+AS8/AS$6*Mapping!$F$18+AT8/AT$6*Mapping!$F$19+AU8/AU$6*Mapping!$F$20+AV8/AV$6*Mapping!$F$21+AW8/AW$6*Mapping!$F$22+AX8/AX$6*Mapping!$F$23)/SUM(Mapping!$F$15:$F$23),"")</f>
        <v/>
      </c>
      <c r="BH8" s="64">
        <f>IFERROR((AP8/AP$6*Mapping!$G$15+AQ8/AQ$6*Mapping!$G$16+AR8/AR$6*Mapping!$G$17+AS8/AS$6*Mapping!$G$18+AT8/AT$6*Mapping!$G$19+AU8/AU$6*Mapping!$G$20+AV8/AV$6*Mapping!$G$21+AW8/AW$6*Mapping!$G$22+AX8/AX$6*Mapping!$G$23)/SUM(Mapping!$G$15:$G$23),"")</f>
        <v/>
      </c>
      <c r="BI8" s="64">
        <f>IFERROR((AP8/AP$6*Mapping!$H$15+AQ8/AQ$6*Mapping!$H$16+AR8/AR$6*Mapping!$H$17+AS8/AS$6*Mapping!$H$18+AT8/AT$6*Mapping!$H$19+AU8/AU$6*Mapping!$H$20+AV8/AV$6*Mapping!$H$21+AW8/AW$6*Mapping!$H$22+AX8/AX$6*Mapping!$H$23)/SUM(Mapping!$H$15:$H$23),"")</f>
        <v/>
      </c>
      <c r="BJ8" s="64">
        <f>IFERROR((AP8/AP$6*Mapping!$I$15+AQ8/AQ$6*Mapping!$I$16+AR8/AR$6*Mapping!$I$17+AS8/AS$6*Mapping!$I$18+AT8/AT$6*Mapping!$I$19+AU8/AU$6*Mapping!$I$20+AV8/AV$6*Mapping!$I$21+AW8/AW$6*Mapping!$I$22+AX8/AX$6*Mapping!$I$23)/SUM(Mapping!$I$15:$I$23),"")</f>
        <v/>
      </c>
      <c r="BK8" s="64">
        <f>IFERROR((AP8/AP$6*Mapping!$J$15+AQ8/AQ$6*Mapping!$J$16+AR8/AR$6*Mapping!$J$17+AS8/AS$6*Mapping!$J$18+AT8/AT$6*Mapping!$J$19+AU8/AU$6*Mapping!$J$20+AV8/AV$6*Mapping!$J$21+AW8/AW$6*Mapping!$J$22+AX8/AX$6*Mapping!$J$23)/SUM(Mapping!$J$15:$J$23),"")</f>
        <v/>
      </c>
      <c r="BL8" s="64">
        <f>IFERROR((AP8/AP$6*Mapping!$K$15+AQ8/AQ$6*Mapping!$K$16+AR8/AR$6*Mapping!$K$17+AS8/AS$6*Mapping!$K$18+AT8/AT$6*Mapping!$K$19+AU8/AU$6*Mapping!$K$20+AV8/AV$6*Mapping!$K$21+AW8/AW$6*Mapping!$K$22+AX8/AX$6*Mapping!$K$23)/SUM(Mapping!$K$15:$K$23),"")</f>
        <v/>
      </c>
      <c r="BM8" s="64">
        <f>IFERROR((AP8/AP$6*Mapping!$L$15+AQ8/AQ$6*Mapping!$L$16+AR8/AR$6*Mapping!$L$17+AS8/AS$6*Mapping!$L$18+AT8/AT$6*Mapping!$L$19+AU8/AU$6*Mapping!$L$20+AV8/AV$6*Mapping!$L$21+AW8/AW$6*Mapping!$L$22+AX8/AX$6*Mapping!$L$23)/SUM(Mapping!$L$15:$L$23),"")</f>
        <v/>
      </c>
      <c r="BN8" s="64">
        <f>IFERROR((AP8/AP$6*Mapping!$M$15+AQ8/AQ$6*Mapping!$M$16+AR8/AR$6*Mapping!$M$17+AS8/AS$6*Mapping!$M$18+AT8/AT$6*Mapping!$M$19+AU8/AU$6*Mapping!$M$20+AV8/AV$6*Mapping!$M$21+AW8/AW$6*Mapping!$M$22+AX8/AX$6*Mapping!$M$23)/SUM(Mapping!$M$15:$M$23),"")</f>
        <v/>
      </c>
      <c r="BO8" s="64">
        <f>IFERROR((AP8/AP$6*Mapping!$N$15+AQ8/AQ$6*Mapping!$N$16+AR8/AR$6*Mapping!$N$17+AS8/AS$6*Mapping!$N$18+AT8/AT$6*Mapping!$N$19+AU8/AU$6*Mapping!$N$20+AV8/AV$6*Mapping!$N$21+AW8/AW$6*Mapping!$N$22+AX8/AX$6*Mapping!$N$23)/SUM(Mapping!$N$15:$N$23),"")</f>
        <v/>
      </c>
      <c r="BP8" s="64">
        <f>IFERROR((AP8/AP$6*Mapping!$O$15+AQ8/AQ$6*Mapping!$O$16+AR8/AR$6*Mapping!$O$17+AS8/AS$6*Mapping!$O$18+AT8/AT$6*Mapping!$O$19+AU8/AU$6*Mapping!$O$20+AV8/AV$6*Mapping!$O$21+AW8/AW$6*Mapping!$O$22+AX8/AX$6*Mapping!$O$23)/SUM(Mapping!$O$15:$O$23),"")</f>
        <v/>
      </c>
      <c r="BQ8" s="64">
        <f>IFERROR((AP8/AP$6*Mapping!$P$15+AQ8/AQ$6*Mapping!$P$16+AR8/AR$6*Mapping!$P$17+AS8/AS$6*Mapping!$P$18+AT8/AT$6*Mapping!$P$19+AU8/AU$6*Mapping!$P$20+AV8/AV$6*Mapping!$P$21+AW8/AW$6*Mapping!$P$22+AX8/AX$6*Mapping!$P$23)/SUM(Mapping!$P$15:$P$23),"")</f>
        <v/>
      </c>
      <c r="BR8" s="65">
        <f>IF(BA8="","",BA8+N(AS8)/10000)</f>
        <v/>
      </c>
    </row>
    <row r="9" ht="30" customHeight="1">
      <c r="A9" s="28" t="n">
        <v>3</v>
      </c>
      <c r="B9" s="29" t="inlineStr">
        <is>
          <t>5th Sem - A</t>
        </is>
      </c>
      <c r="C9" s="29" t="n"/>
      <c r="D9" s="6" t="n"/>
      <c r="E9" s="6" t="n"/>
      <c r="F9" s="29" t="n"/>
      <c r="G9" s="29" t="n"/>
      <c r="H9" s="6" t="n"/>
      <c r="I9" s="29" t="n"/>
      <c r="J9" s="29" t="n"/>
      <c r="K9" s="29" t="n"/>
      <c r="L9" s="29" t="n"/>
      <c r="M9" s="29" t="n"/>
      <c r="N9" s="29" t="n"/>
      <c r="O9" s="29" t="n"/>
      <c r="P9" s="29" t="n"/>
      <c r="Q9" s="29" t="n"/>
      <c r="R9" s="29" t="n"/>
      <c r="S9" s="29" t="n"/>
      <c r="T9" s="29" t="n"/>
      <c r="U9" s="29" t="n"/>
      <c r="V9" s="29" t="n"/>
      <c r="W9" s="29" t="n"/>
      <c r="X9" s="29" t="n"/>
      <c r="Y9" s="29" t="n"/>
      <c r="Z9" s="29" t="n"/>
      <c r="AA9" s="29" t="n"/>
      <c r="AB9" s="29" t="n"/>
      <c r="AC9" s="29" t="n"/>
      <c r="AD9" s="29" t="n"/>
      <c r="AE9" s="29" t="n"/>
      <c r="AF9" s="29" t="n"/>
      <c r="AG9" s="29" t="n"/>
      <c r="AH9" s="29" t="n"/>
      <c r="AI9" s="29" t="n"/>
      <c r="AJ9" s="29" t="n"/>
      <c r="AK9" s="29" t="n"/>
      <c r="AL9" s="29" t="n"/>
      <c r="AM9" s="29" t="n"/>
      <c r="AN9" s="29" t="n"/>
      <c r="AO9" s="29" t="n"/>
      <c r="AP9" s="59">
        <f>IF(COUNT(I9,T9,AE9)=0,"",AVERAGE(I9,T9,AE9))</f>
        <v/>
      </c>
      <c r="AQ9" s="59">
        <f>IF(COUNT(J9,U9,AF9)=0,"",AVERAGE(J9,U9,AF9))</f>
        <v/>
      </c>
      <c r="AR9" s="59">
        <f>IF(COUNT(K9,V9,AG9)=0,"",AVERAGE(K9,V9,AG9))</f>
        <v/>
      </c>
      <c r="AS9" s="59">
        <f>IF(COUNT(L9,W9,AH9)=0,"",AVERAGE(L9,W9,AH9))</f>
        <v/>
      </c>
      <c r="AT9" s="59">
        <f>IF(COUNT(M9,X9,AI9)=0,"",AVERAGE(M9,X9,AI9))</f>
        <v/>
      </c>
      <c r="AU9" s="59">
        <f>IF(COUNT(N9,Y9,AJ9)=0,"",AVERAGE(N9,Y9,AJ9))</f>
        <v/>
      </c>
      <c r="AV9" s="59">
        <f>IF(COUNT(O9,Z9,AK9)=0,"",AVERAGE(O9,Z9,AK9))</f>
        <v/>
      </c>
      <c r="AW9" s="59">
        <f>IF(COUNT(P9,AA9,AL9)=0,"",AVERAGE(P9,AA9,AL9))</f>
        <v/>
      </c>
      <c r="AX9" s="59">
        <f>IF(COUNT(Q9,AB9,AM9)=0,"",AVERAGE(Q9,AB9,AM9))</f>
        <v/>
      </c>
      <c r="AY9" s="60">
        <f>IF(OR($F9="",COUNT(R9,AC9,AN9)=0),"",AVERAGE(R9,AC9,AN9))</f>
        <v/>
      </c>
      <c r="AZ9" s="60">
        <f>IF(OR($G9="",$G9=$F9,COUNT(S9,AD9,AO9)=0),"",AVERAGE(S9,AD9,AO9))</f>
        <v/>
      </c>
      <c r="BA9" s="61">
        <f>IF(COUNT(AP9:AX9)=0,"",SUM(AP9:AX9))</f>
        <v/>
      </c>
      <c r="BB9" s="62">
        <f>IF(BA9="","",BA9/BA$6)</f>
        <v/>
      </c>
      <c r="BC9" s="14">
        <f>IF(BR9="","",COUNTIF($BR$7:$BR$26,"&gt;"&amp;BR9)+COUNTIF($BR$7:BR9,BR9))</f>
        <v/>
      </c>
      <c r="BD9" s="63">
        <f>IF(BC9="","",IF(BC9&lt;=Mapping!$C$11,"Shortlisted","Not shortlisted"))</f>
        <v/>
      </c>
      <c r="BE9" s="64">
        <f>IFERROR((AP9/AP$6*Mapping!$D$15+AQ9/AQ$6*Mapping!$D$16+AR9/AR$6*Mapping!$D$17+AS9/AS$6*Mapping!$D$18+AT9/AT$6*Mapping!$D$19+AU9/AU$6*Mapping!$D$20+AV9/AV$6*Mapping!$D$21+AW9/AW$6*Mapping!$D$22+AX9/AX$6*Mapping!$D$23)/SUM(Mapping!$D$15:$D$23),"")</f>
        <v/>
      </c>
      <c r="BF9" s="64">
        <f>IFERROR((AP9/AP$6*Mapping!$E$15+AQ9/AQ$6*Mapping!$E$16+AR9/AR$6*Mapping!$E$17+AS9/AS$6*Mapping!$E$18+AT9/AT$6*Mapping!$E$19+AU9/AU$6*Mapping!$E$20+AV9/AV$6*Mapping!$E$21+AW9/AW$6*Mapping!$E$22+AX9/AX$6*Mapping!$E$23)/SUM(Mapping!$E$15:$E$23),"")</f>
        <v/>
      </c>
      <c r="BG9" s="64">
        <f>IFERROR((AP9/AP$6*Mapping!$F$15+AQ9/AQ$6*Mapping!$F$16+AR9/AR$6*Mapping!$F$17+AS9/AS$6*Mapping!$F$18+AT9/AT$6*Mapping!$F$19+AU9/AU$6*Mapping!$F$20+AV9/AV$6*Mapping!$F$21+AW9/AW$6*Mapping!$F$22+AX9/AX$6*Mapping!$F$23)/SUM(Mapping!$F$15:$F$23),"")</f>
        <v/>
      </c>
      <c r="BH9" s="64">
        <f>IFERROR((AP9/AP$6*Mapping!$G$15+AQ9/AQ$6*Mapping!$G$16+AR9/AR$6*Mapping!$G$17+AS9/AS$6*Mapping!$G$18+AT9/AT$6*Mapping!$G$19+AU9/AU$6*Mapping!$G$20+AV9/AV$6*Mapping!$G$21+AW9/AW$6*Mapping!$G$22+AX9/AX$6*Mapping!$G$23)/SUM(Mapping!$G$15:$G$23),"")</f>
        <v/>
      </c>
      <c r="BI9" s="64">
        <f>IFERROR((AP9/AP$6*Mapping!$H$15+AQ9/AQ$6*Mapping!$H$16+AR9/AR$6*Mapping!$H$17+AS9/AS$6*Mapping!$H$18+AT9/AT$6*Mapping!$H$19+AU9/AU$6*Mapping!$H$20+AV9/AV$6*Mapping!$H$21+AW9/AW$6*Mapping!$H$22+AX9/AX$6*Mapping!$H$23)/SUM(Mapping!$H$15:$H$23),"")</f>
        <v/>
      </c>
      <c r="BJ9" s="64">
        <f>IFERROR((AP9/AP$6*Mapping!$I$15+AQ9/AQ$6*Mapping!$I$16+AR9/AR$6*Mapping!$I$17+AS9/AS$6*Mapping!$I$18+AT9/AT$6*Mapping!$I$19+AU9/AU$6*Mapping!$I$20+AV9/AV$6*Mapping!$I$21+AW9/AW$6*Mapping!$I$22+AX9/AX$6*Mapping!$I$23)/SUM(Mapping!$I$15:$I$23),"")</f>
        <v/>
      </c>
      <c r="BK9" s="64">
        <f>IFERROR((AP9/AP$6*Mapping!$J$15+AQ9/AQ$6*Mapping!$J$16+AR9/AR$6*Mapping!$J$17+AS9/AS$6*Mapping!$J$18+AT9/AT$6*Mapping!$J$19+AU9/AU$6*Mapping!$J$20+AV9/AV$6*Mapping!$J$21+AW9/AW$6*Mapping!$J$22+AX9/AX$6*Mapping!$J$23)/SUM(Mapping!$J$15:$J$23),"")</f>
        <v/>
      </c>
      <c r="BL9" s="64">
        <f>IFERROR((AP9/AP$6*Mapping!$K$15+AQ9/AQ$6*Mapping!$K$16+AR9/AR$6*Mapping!$K$17+AS9/AS$6*Mapping!$K$18+AT9/AT$6*Mapping!$K$19+AU9/AU$6*Mapping!$K$20+AV9/AV$6*Mapping!$K$21+AW9/AW$6*Mapping!$K$22+AX9/AX$6*Mapping!$K$23)/SUM(Mapping!$K$15:$K$23),"")</f>
        <v/>
      </c>
      <c r="BM9" s="64">
        <f>IFERROR((AP9/AP$6*Mapping!$L$15+AQ9/AQ$6*Mapping!$L$16+AR9/AR$6*Mapping!$L$17+AS9/AS$6*Mapping!$L$18+AT9/AT$6*Mapping!$L$19+AU9/AU$6*Mapping!$L$20+AV9/AV$6*Mapping!$L$21+AW9/AW$6*Mapping!$L$22+AX9/AX$6*Mapping!$L$23)/SUM(Mapping!$L$15:$L$23),"")</f>
        <v/>
      </c>
      <c r="BN9" s="64">
        <f>IFERROR((AP9/AP$6*Mapping!$M$15+AQ9/AQ$6*Mapping!$M$16+AR9/AR$6*Mapping!$M$17+AS9/AS$6*Mapping!$M$18+AT9/AT$6*Mapping!$M$19+AU9/AU$6*Mapping!$M$20+AV9/AV$6*Mapping!$M$21+AW9/AW$6*Mapping!$M$22+AX9/AX$6*Mapping!$M$23)/SUM(Mapping!$M$15:$M$23),"")</f>
        <v/>
      </c>
      <c r="BO9" s="64">
        <f>IFERROR((AP9/AP$6*Mapping!$N$15+AQ9/AQ$6*Mapping!$N$16+AR9/AR$6*Mapping!$N$17+AS9/AS$6*Mapping!$N$18+AT9/AT$6*Mapping!$N$19+AU9/AU$6*Mapping!$N$20+AV9/AV$6*Mapping!$N$21+AW9/AW$6*Mapping!$N$22+AX9/AX$6*Mapping!$N$23)/SUM(Mapping!$N$15:$N$23),"")</f>
        <v/>
      </c>
      <c r="BP9" s="64">
        <f>IFERROR((AP9/AP$6*Mapping!$O$15+AQ9/AQ$6*Mapping!$O$16+AR9/AR$6*Mapping!$O$17+AS9/AS$6*Mapping!$O$18+AT9/AT$6*Mapping!$O$19+AU9/AU$6*Mapping!$O$20+AV9/AV$6*Mapping!$O$21+AW9/AW$6*Mapping!$O$22+AX9/AX$6*Mapping!$O$23)/SUM(Mapping!$O$15:$O$23),"")</f>
        <v/>
      </c>
      <c r="BQ9" s="64">
        <f>IFERROR((AP9/AP$6*Mapping!$P$15+AQ9/AQ$6*Mapping!$P$16+AR9/AR$6*Mapping!$P$17+AS9/AS$6*Mapping!$P$18+AT9/AT$6*Mapping!$P$19+AU9/AU$6*Mapping!$P$20+AV9/AV$6*Mapping!$P$21+AW9/AW$6*Mapping!$P$22+AX9/AX$6*Mapping!$P$23)/SUM(Mapping!$P$15:$P$23),"")</f>
        <v/>
      </c>
      <c r="BR9" s="65">
        <f>IF(BA9="","",BA9+N(AS9)/10000)</f>
        <v/>
      </c>
    </row>
    <row r="10" ht="30" customHeight="1">
      <c r="A10" s="28" t="n">
        <v>4</v>
      </c>
      <c r="B10" s="29" t="inlineStr">
        <is>
          <t>5th Sem - A</t>
        </is>
      </c>
      <c r="C10" s="29" t="n"/>
      <c r="D10" s="6" t="n"/>
      <c r="E10" s="6" t="n"/>
      <c r="F10" s="29" t="n"/>
      <c r="G10" s="29" t="n"/>
      <c r="H10" s="6" t="n"/>
      <c r="I10" s="29" t="n"/>
      <c r="J10" s="29" t="n"/>
      <c r="K10" s="29" t="n"/>
      <c r="L10" s="29" t="n"/>
      <c r="M10" s="29" t="n"/>
      <c r="N10" s="29" t="n"/>
      <c r="O10" s="29" t="n"/>
      <c r="P10" s="29" t="n"/>
      <c r="Q10" s="29" t="n"/>
      <c r="R10" s="29" t="n"/>
      <c r="S10" s="29" t="n"/>
      <c r="T10" s="29" t="n"/>
      <c r="U10" s="29" t="n"/>
      <c r="V10" s="29" t="n"/>
      <c r="W10" s="29" t="n"/>
      <c r="X10" s="29" t="n"/>
      <c r="Y10" s="29" t="n"/>
      <c r="Z10" s="29" t="n"/>
      <c r="AA10" s="29" t="n"/>
      <c r="AB10" s="29" t="n"/>
      <c r="AC10" s="29" t="n"/>
      <c r="AD10" s="29" t="n"/>
      <c r="AE10" s="29" t="n"/>
      <c r="AF10" s="29" t="n"/>
      <c r="AG10" s="29" t="n"/>
      <c r="AH10" s="29" t="n"/>
      <c r="AI10" s="29" t="n"/>
      <c r="AJ10" s="29" t="n"/>
      <c r="AK10" s="29" t="n"/>
      <c r="AL10" s="29" t="n"/>
      <c r="AM10" s="29" t="n"/>
      <c r="AN10" s="29" t="n"/>
      <c r="AO10" s="29" t="n"/>
      <c r="AP10" s="59">
        <f>IF(COUNT(I10,T10,AE10)=0,"",AVERAGE(I10,T10,AE10))</f>
        <v/>
      </c>
      <c r="AQ10" s="59">
        <f>IF(COUNT(J10,U10,AF10)=0,"",AVERAGE(J10,U10,AF10))</f>
        <v/>
      </c>
      <c r="AR10" s="59">
        <f>IF(COUNT(K10,V10,AG10)=0,"",AVERAGE(K10,V10,AG10))</f>
        <v/>
      </c>
      <c r="AS10" s="59">
        <f>IF(COUNT(L10,W10,AH10)=0,"",AVERAGE(L10,W10,AH10))</f>
        <v/>
      </c>
      <c r="AT10" s="59">
        <f>IF(COUNT(M10,X10,AI10)=0,"",AVERAGE(M10,X10,AI10))</f>
        <v/>
      </c>
      <c r="AU10" s="59">
        <f>IF(COUNT(N10,Y10,AJ10)=0,"",AVERAGE(N10,Y10,AJ10))</f>
        <v/>
      </c>
      <c r="AV10" s="59">
        <f>IF(COUNT(O10,Z10,AK10)=0,"",AVERAGE(O10,Z10,AK10))</f>
        <v/>
      </c>
      <c r="AW10" s="59">
        <f>IF(COUNT(P10,AA10,AL10)=0,"",AVERAGE(P10,AA10,AL10))</f>
        <v/>
      </c>
      <c r="AX10" s="59">
        <f>IF(COUNT(Q10,AB10,AM10)=0,"",AVERAGE(Q10,AB10,AM10))</f>
        <v/>
      </c>
      <c r="AY10" s="60">
        <f>IF(OR($F10="",COUNT(R10,AC10,AN10)=0),"",AVERAGE(R10,AC10,AN10))</f>
        <v/>
      </c>
      <c r="AZ10" s="60">
        <f>IF(OR($G10="",$G10=$F10,COUNT(S10,AD10,AO10)=0),"",AVERAGE(S10,AD10,AO10))</f>
        <v/>
      </c>
      <c r="BA10" s="61">
        <f>IF(COUNT(AP10:AX10)=0,"",SUM(AP10:AX10))</f>
        <v/>
      </c>
      <c r="BB10" s="62">
        <f>IF(BA10="","",BA10/BA$6)</f>
        <v/>
      </c>
      <c r="BC10" s="14">
        <f>IF(BR10="","",COUNTIF($BR$7:$BR$26,"&gt;"&amp;BR10)+COUNTIF($BR$7:BR10,BR10))</f>
        <v/>
      </c>
      <c r="BD10" s="63">
        <f>IF(BC10="","",IF(BC10&lt;=Mapping!$C$11,"Shortlisted","Not shortlisted"))</f>
        <v/>
      </c>
      <c r="BE10" s="64">
        <f>IFERROR((AP10/AP$6*Mapping!$D$15+AQ10/AQ$6*Mapping!$D$16+AR10/AR$6*Mapping!$D$17+AS10/AS$6*Mapping!$D$18+AT10/AT$6*Mapping!$D$19+AU10/AU$6*Mapping!$D$20+AV10/AV$6*Mapping!$D$21+AW10/AW$6*Mapping!$D$22+AX10/AX$6*Mapping!$D$23)/SUM(Mapping!$D$15:$D$23),"")</f>
        <v/>
      </c>
      <c r="BF10" s="64">
        <f>IFERROR((AP10/AP$6*Mapping!$E$15+AQ10/AQ$6*Mapping!$E$16+AR10/AR$6*Mapping!$E$17+AS10/AS$6*Mapping!$E$18+AT10/AT$6*Mapping!$E$19+AU10/AU$6*Mapping!$E$20+AV10/AV$6*Mapping!$E$21+AW10/AW$6*Mapping!$E$22+AX10/AX$6*Mapping!$E$23)/SUM(Mapping!$E$15:$E$23),"")</f>
        <v/>
      </c>
      <c r="BG10" s="64">
        <f>IFERROR((AP10/AP$6*Mapping!$F$15+AQ10/AQ$6*Mapping!$F$16+AR10/AR$6*Mapping!$F$17+AS10/AS$6*Mapping!$F$18+AT10/AT$6*Mapping!$F$19+AU10/AU$6*Mapping!$F$20+AV10/AV$6*Mapping!$F$21+AW10/AW$6*Mapping!$F$22+AX10/AX$6*Mapping!$F$23)/SUM(Mapping!$F$15:$F$23),"")</f>
        <v/>
      </c>
      <c r="BH10" s="64">
        <f>IFERROR((AP10/AP$6*Mapping!$G$15+AQ10/AQ$6*Mapping!$G$16+AR10/AR$6*Mapping!$G$17+AS10/AS$6*Mapping!$G$18+AT10/AT$6*Mapping!$G$19+AU10/AU$6*Mapping!$G$20+AV10/AV$6*Mapping!$G$21+AW10/AW$6*Mapping!$G$22+AX10/AX$6*Mapping!$G$23)/SUM(Mapping!$G$15:$G$23),"")</f>
        <v/>
      </c>
      <c r="BI10" s="64">
        <f>IFERROR((AP10/AP$6*Mapping!$H$15+AQ10/AQ$6*Mapping!$H$16+AR10/AR$6*Mapping!$H$17+AS10/AS$6*Mapping!$H$18+AT10/AT$6*Mapping!$H$19+AU10/AU$6*Mapping!$H$20+AV10/AV$6*Mapping!$H$21+AW10/AW$6*Mapping!$H$22+AX10/AX$6*Mapping!$H$23)/SUM(Mapping!$H$15:$H$23),"")</f>
        <v/>
      </c>
      <c r="BJ10" s="64">
        <f>IFERROR((AP10/AP$6*Mapping!$I$15+AQ10/AQ$6*Mapping!$I$16+AR10/AR$6*Mapping!$I$17+AS10/AS$6*Mapping!$I$18+AT10/AT$6*Mapping!$I$19+AU10/AU$6*Mapping!$I$20+AV10/AV$6*Mapping!$I$21+AW10/AW$6*Mapping!$I$22+AX10/AX$6*Mapping!$I$23)/SUM(Mapping!$I$15:$I$23),"")</f>
        <v/>
      </c>
      <c r="BK10" s="64">
        <f>IFERROR((AP10/AP$6*Mapping!$J$15+AQ10/AQ$6*Mapping!$J$16+AR10/AR$6*Mapping!$J$17+AS10/AS$6*Mapping!$J$18+AT10/AT$6*Mapping!$J$19+AU10/AU$6*Mapping!$J$20+AV10/AV$6*Mapping!$J$21+AW10/AW$6*Mapping!$J$22+AX10/AX$6*Mapping!$J$23)/SUM(Mapping!$J$15:$J$23),"")</f>
        <v/>
      </c>
      <c r="BL10" s="64">
        <f>IFERROR((AP10/AP$6*Mapping!$K$15+AQ10/AQ$6*Mapping!$K$16+AR10/AR$6*Mapping!$K$17+AS10/AS$6*Mapping!$K$18+AT10/AT$6*Mapping!$K$19+AU10/AU$6*Mapping!$K$20+AV10/AV$6*Mapping!$K$21+AW10/AW$6*Mapping!$K$22+AX10/AX$6*Mapping!$K$23)/SUM(Mapping!$K$15:$K$23),"")</f>
        <v/>
      </c>
      <c r="BM10" s="64">
        <f>IFERROR((AP10/AP$6*Mapping!$L$15+AQ10/AQ$6*Mapping!$L$16+AR10/AR$6*Mapping!$L$17+AS10/AS$6*Mapping!$L$18+AT10/AT$6*Mapping!$L$19+AU10/AU$6*Mapping!$L$20+AV10/AV$6*Mapping!$L$21+AW10/AW$6*Mapping!$L$22+AX10/AX$6*Mapping!$L$23)/SUM(Mapping!$L$15:$L$23),"")</f>
        <v/>
      </c>
      <c r="BN10" s="64">
        <f>IFERROR((AP10/AP$6*Mapping!$M$15+AQ10/AQ$6*Mapping!$M$16+AR10/AR$6*Mapping!$M$17+AS10/AS$6*Mapping!$M$18+AT10/AT$6*Mapping!$M$19+AU10/AU$6*Mapping!$M$20+AV10/AV$6*Mapping!$M$21+AW10/AW$6*Mapping!$M$22+AX10/AX$6*Mapping!$M$23)/SUM(Mapping!$M$15:$M$23),"")</f>
        <v/>
      </c>
      <c r="BO10" s="64">
        <f>IFERROR((AP10/AP$6*Mapping!$N$15+AQ10/AQ$6*Mapping!$N$16+AR10/AR$6*Mapping!$N$17+AS10/AS$6*Mapping!$N$18+AT10/AT$6*Mapping!$N$19+AU10/AU$6*Mapping!$N$20+AV10/AV$6*Mapping!$N$21+AW10/AW$6*Mapping!$N$22+AX10/AX$6*Mapping!$N$23)/SUM(Mapping!$N$15:$N$23),"")</f>
        <v/>
      </c>
      <c r="BP10" s="64">
        <f>IFERROR((AP10/AP$6*Mapping!$O$15+AQ10/AQ$6*Mapping!$O$16+AR10/AR$6*Mapping!$O$17+AS10/AS$6*Mapping!$O$18+AT10/AT$6*Mapping!$O$19+AU10/AU$6*Mapping!$O$20+AV10/AV$6*Mapping!$O$21+AW10/AW$6*Mapping!$O$22+AX10/AX$6*Mapping!$O$23)/SUM(Mapping!$O$15:$O$23),"")</f>
        <v/>
      </c>
      <c r="BQ10" s="64">
        <f>IFERROR((AP10/AP$6*Mapping!$P$15+AQ10/AQ$6*Mapping!$P$16+AR10/AR$6*Mapping!$P$17+AS10/AS$6*Mapping!$P$18+AT10/AT$6*Mapping!$P$19+AU10/AU$6*Mapping!$P$20+AV10/AV$6*Mapping!$P$21+AW10/AW$6*Mapping!$P$22+AX10/AX$6*Mapping!$P$23)/SUM(Mapping!$P$15:$P$23),"")</f>
        <v/>
      </c>
      <c r="BR10" s="65">
        <f>IF(BA10="","",BA10+N(AS10)/10000)</f>
        <v/>
      </c>
    </row>
    <row r="11" ht="30" customHeight="1">
      <c r="A11" s="28" t="n">
        <v>5</v>
      </c>
      <c r="B11" s="29" t="inlineStr">
        <is>
          <t>5th Sem - A</t>
        </is>
      </c>
      <c r="C11" s="29" t="n"/>
      <c r="D11" s="6" t="n"/>
      <c r="E11" s="6" t="n"/>
      <c r="F11" s="29" t="n"/>
      <c r="G11" s="29" t="n"/>
      <c r="H11" s="6"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59">
        <f>IF(COUNT(I11,T11,AE11)=0,"",AVERAGE(I11,T11,AE11))</f>
        <v/>
      </c>
      <c r="AQ11" s="59">
        <f>IF(COUNT(J11,U11,AF11)=0,"",AVERAGE(J11,U11,AF11))</f>
        <v/>
      </c>
      <c r="AR11" s="59">
        <f>IF(COUNT(K11,V11,AG11)=0,"",AVERAGE(K11,V11,AG11))</f>
        <v/>
      </c>
      <c r="AS11" s="59">
        <f>IF(COUNT(L11,W11,AH11)=0,"",AVERAGE(L11,W11,AH11))</f>
        <v/>
      </c>
      <c r="AT11" s="59">
        <f>IF(COUNT(M11,X11,AI11)=0,"",AVERAGE(M11,X11,AI11))</f>
        <v/>
      </c>
      <c r="AU11" s="59">
        <f>IF(COUNT(N11,Y11,AJ11)=0,"",AVERAGE(N11,Y11,AJ11))</f>
        <v/>
      </c>
      <c r="AV11" s="59">
        <f>IF(COUNT(O11,Z11,AK11)=0,"",AVERAGE(O11,Z11,AK11))</f>
        <v/>
      </c>
      <c r="AW11" s="59">
        <f>IF(COUNT(P11,AA11,AL11)=0,"",AVERAGE(P11,AA11,AL11))</f>
        <v/>
      </c>
      <c r="AX11" s="59">
        <f>IF(COUNT(Q11,AB11,AM11)=0,"",AVERAGE(Q11,AB11,AM11))</f>
        <v/>
      </c>
      <c r="AY11" s="60">
        <f>IF(OR($F11="",COUNT(R11,AC11,AN11)=0),"",AVERAGE(R11,AC11,AN11))</f>
        <v/>
      </c>
      <c r="AZ11" s="60">
        <f>IF(OR($G11="",$G11=$F11,COUNT(S11,AD11,AO11)=0),"",AVERAGE(S11,AD11,AO11))</f>
        <v/>
      </c>
      <c r="BA11" s="61">
        <f>IF(COUNT(AP11:AX11)=0,"",SUM(AP11:AX11))</f>
        <v/>
      </c>
      <c r="BB11" s="62">
        <f>IF(BA11="","",BA11/BA$6)</f>
        <v/>
      </c>
      <c r="BC11" s="14">
        <f>IF(BR11="","",COUNTIF($BR$7:$BR$26,"&gt;"&amp;BR11)+COUNTIF($BR$7:BR11,BR11))</f>
        <v/>
      </c>
      <c r="BD11" s="63">
        <f>IF(BC11="","",IF(BC11&lt;=Mapping!$C$11,"Shortlisted","Not shortlisted"))</f>
        <v/>
      </c>
      <c r="BE11" s="64">
        <f>IFERROR((AP11/AP$6*Mapping!$D$15+AQ11/AQ$6*Mapping!$D$16+AR11/AR$6*Mapping!$D$17+AS11/AS$6*Mapping!$D$18+AT11/AT$6*Mapping!$D$19+AU11/AU$6*Mapping!$D$20+AV11/AV$6*Mapping!$D$21+AW11/AW$6*Mapping!$D$22+AX11/AX$6*Mapping!$D$23)/SUM(Mapping!$D$15:$D$23),"")</f>
        <v/>
      </c>
      <c r="BF11" s="64">
        <f>IFERROR((AP11/AP$6*Mapping!$E$15+AQ11/AQ$6*Mapping!$E$16+AR11/AR$6*Mapping!$E$17+AS11/AS$6*Mapping!$E$18+AT11/AT$6*Mapping!$E$19+AU11/AU$6*Mapping!$E$20+AV11/AV$6*Mapping!$E$21+AW11/AW$6*Mapping!$E$22+AX11/AX$6*Mapping!$E$23)/SUM(Mapping!$E$15:$E$23),"")</f>
        <v/>
      </c>
      <c r="BG11" s="64">
        <f>IFERROR((AP11/AP$6*Mapping!$F$15+AQ11/AQ$6*Mapping!$F$16+AR11/AR$6*Mapping!$F$17+AS11/AS$6*Mapping!$F$18+AT11/AT$6*Mapping!$F$19+AU11/AU$6*Mapping!$F$20+AV11/AV$6*Mapping!$F$21+AW11/AW$6*Mapping!$F$22+AX11/AX$6*Mapping!$F$23)/SUM(Mapping!$F$15:$F$23),"")</f>
        <v/>
      </c>
      <c r="BH11" s="64">
        <f>IFERROR((AP11/AP$6*Mapping!$G$15+AQ11/AQ$6*Mapping!$G$16+AR11/AR$6*Mapping!$G$17+AS11/AS$6*Mapping!$G$18+AT11/AT$6*Mapping!$G$19+AU11/AU$6*Mapping!$G$20+AV11/AV$6*Mapping!$G$21+AW11/AW$6*Mapping!$G$22+AX11/AX$6*Mapping!$G$23)/SUM(Mapping!$G$15:$G$23),"")</f>
        <v/>
      </c>
      <c r="BI11" s="64">
        <f>IFERROR((AP11/AP$6*Mapping!$H$15+AQ11/AQ$6*Mapping!$H$16+AR11/AR$6*Mapping!$H$17+AS11/AS$6*Mapping!$H$18+AT11/AT$6*Mapping!$H$19+AU11/AU$6*Mapping!$H$20+AV11/AV$6*Mapping!$H$21+AW11/AW$6*Mapping!$H$22+AX11/AX$6*Mapping!$H$23)/SUM(Mapping!$H$15:$H$23),"")</f>
        <v/>
      </c>
      <c r="BJ11" s="64">
        <f>IFERROR((AP11/AP$6*Mapping!$I$15+AQ11/AQ$6*Mapping!$I$16+AR11/AR$6*Mapping!$I$17+AS11/AS$6*Mapping!$I$18+AT11/AT$6*Mapping!$I$19+AU11/AU$6*Mapping!$I$20+AV11/AV$6*Mapping!$I$21+AW11/AW$6*Mapping!$I$22+AX11/AX$6*Mapping!$I$23)/SUM(Mapping!$I$15:$I$23),"")</f>
        <v/>
      </c>
      <c r="BK11" s="64">
        <f>IFERROR((AP11/AP$6*Mapping!$J$15+AQ11/AQ$6*Mapping!$J$16+AR11/AR$6*Mapping!$J$17+AS11/AS$6*Mapping!$J$18+AT11/AT$6*Mapping!$J$19+AU11/AU$6*Mapping!$J$20+AV11/AV$6*Mapping!$J$21+AW11/AW$6*Mapping!$J$22+AX11/AX$6*Mapping!$J$23)/SUM(Mapping!$J$15:$J$23),"")</f>
        <v/>
      </c>
      <c r="BL11" s="64">
        <f>IFERROR((AP11/AP$6*Mapping!$K$15+AQ11/AQ$6*Mapping!$K$16+AR11/AR$6*Mapping!$K$17+AS11/AS$6*Mapping!$K$18+AT11/AT$6*Mapping!$K$19+AU11/AU$6*Mapping!$K$20+AV11/AV$6*Mapping!$K$21+AW11/AW$6*Mapping!$K$22+AX11/AX$6*Mapping!$K$23)/SUM(Mapping!$K$15:$K$23),"")</f>
        <v/>
      </c>
      <c r="BM11" s="64">
        <f>IFERROR((AP11/AP$6*Mapping!$L$15+AQ11/AQ$6*Mapping!$L$16+AR11/AR$6*Mapping!$L$17+AS11/AS$6*Mapping!$L$18+AT11/AT$6*Mapping!$L$19+AU11/AU$6*Mapping!$L$20+AV11/AV$6*Mapping!$L$21+AW11/AW$6*Mapping!$L$22+AX11/AX$6*Mapping!$L$23)/SUM(Mapping!$L$15:$L$23),"")</f>
        <v/>
      </c>
      <c r="BN11" s="64">
        <f>IFERROR((AP11/AP$6*Mapping!$M$15+AQ11/AQ$6*Mapping!$M$16+AR11/AR$6*Mapping!$M$17+AS11/AS$6*Mapping!$M$18+AT11/AT$6*Mapping!$M$19+AU11/AU$6*Mapping!$M$20+AV11/AV$6*Mapping!$M$21+AW11/AW$6*Mapping!$M$22+AX11/AX$6*Mapping!$M$23)/SUM(Mapping!$M$15:$M$23),"")</f>
        <v/>
      </c>
      <c r="BO11" s="64">
        <f>IFERROR((AP11/AP$6*Mapping!$N$15+AQ11/AQ$6*Mapping!$N$16+AR11/AR$6*Mapping!$N$17+AS11/AS$6*Mapping!$N$18+AT11/AT$6*Mapping!$N$19+AU11/AU$6*Mapping!$N$20+AV11/AV$6*Mapping!$N$21+AW11/AW$6*Mapping!$N$22+AX11/AX$6*Mapping!$N$23)/SUM(Mapping!$N$15:$N$23),"")</f>
        <v/>
      </c>
      <c r="BP11" s="64">
        <f>IFERROR((AP11/AP$6*Mapping!$O$15+AQ11/AQ$6*Mapping!$O$16+AR11/AR$6*Mapping!$O$17+AS11/AS$6*Mapping!$O$18+AT11/AT$6*Mapping!$O$19+AU11/AU$6*Mapping!$O$20+AV11/AV$6*Mapping!$O$21+AW11/AW$6*Mapping!$O$22+AX11/AX$6*Mapping!$O$23)/SUM(Mapping!$O$15:$O$23),"")</f>
        <v/>
      </c>
      <c r="BQ11" s="64">
        <f>IFERROR((AP11/AP$6*Mapping!$P$15+AQ11/AQ$6*Mapping!$P$16+AR11/AR$6*Mapping!$P$17+AS11/AS$6*Mapping!$P$18+AT11/AT$6*Mapping!$P$19+AU11/AU$6*Mapping!$P$20+AV11/AV$6*Mapping!$P$21+AW11/AW$6*Mapping!$P$22+AX11/AX$6*Mapping!$P$23)/SUM(Mapping!$P$15:$P$23),"")</f>
        <v/>
      </c>
      <c r="BR11" s="65">
        <f>IF(BA11="","",BA11+N(AS11)/10000)</f>
        <v/>
      </c>
    </row>
    <row r="12" ht="30" customHeight="1">
      <c r="A12" s="28" t="n">
        <v>6</v>
      </c>
      <c r="B12" s="29" t="inlineStr">
        <is>
          <t>5th Sem - A</t>
        </is>
      </c>
      <c r="C12" s="29" t="n"/>
      <c r="D12" s="6" t="n"/>
      <c r="E12" s="6" t="n"/>
      <c r="F12" s="29" t="n"/>
      <c r="G12" s="29" t="n"/>
      <c r="H12" s="6" t="n"/>
      <c r="I12" s="29" t="n"/>
      <c r="J12" s="29" t="n"/>
      <c r="K12" s="29" t="n"/>
      <c r="L12" s="29" t="n"/>
      <c r="M12" s="29" t="n"/>
      <c r="N12" s="29" t="n"/>
      <c r="O12" s="29" t="n"/>
      <c r="P12" s="29" t="n"/>
      <c r="Q12" s="29" t="n"/>
      <c r="R12" s="29" t="n"/>
      <c r="S12" s="29" t="n"/>
      <c r="T12" s="29" t="n"/>
      <c r="U12" s="29" t="n"/>
      <c r="V12" s="29" t="n"/>
      <c r="W12" s="29" t="n"/>
      <c r="X12" s="29" t="n"/>
      <c r="Y12" s="29" t="n"/>
      <c r="Z12" s="29" t="n"/>
      <c r="AA12" s="29" t="n"/>
      <c r="AB12" s="29" t="n"/>
      <c r="AC12" s="29" t="n"/>
      <c r="AD12" s="29" t="n"/>
      <c r="AE12" s="29" t="n"/>
      <c r="AF12" s="29" t="n"/>
      <c r="AG12" s="29" t="n"/>
      <c r="AH12" s="29" t="n"/>
      <c r="AI12" s="29" t="n"/>
      <c r="AJ12" s="29" t="n"/>
      <c r="AK12" s="29" t="n"/>
      <c r="AL12" s="29" t="n"/>
      <c r="AM12" s="29" t="n"/>
      <c r="AN12" s="29" t="n"/>
      <c r="AO12" s="29" t="n"/>
      <c r="AP12" s="59">
        <f>IF(COUNT(I12,T12,AE12)=0,"",AVERAGE(I12,T12,AE12))</f>
        <v/>
      </c>
      <c r="AQ12" s="59">
        <f>IF(COUNT(J12,U12,AF12)=0,"",AVERAGE(J12,U12,AF12))</f>
        <v/>
      </c>
      <c r="AR12" s="59">
        <f>IF(COUNT(K12,V12,AG12)=0,"",AVERAGE(K12,V12,AG12))</f>
        <v/>
      </c>
      <c r="AS12" s="59">
        <f>IF(COUNT(L12,W12,AH12)=0,"",AVERAGE(L12,W12,AH12))</f>
        <v/>
      </c>
      <c r="AT12" s="59">
        <f>IF(COUNT(M12,X12,AI12)=0,"",AVERAGE(M12,X12,AI12))</f>
        <v/>
      </c>
      <c r="AU12" s="59">
        <f>IF(COUNT(N12,Y12,AJ12)=0,"",AVERAGE(N12,Y12,AJ12))</f>
        <v/>
      </c>
      <c r="AV12" s="59">
        <f>IF(COUNT(O12,Z12,AK12)=0,"",AVERAGE(O12,Z12,AK12))</f>
        <v/>
      </c>
      <c r="AW12" s="59">
        <f>IF(COUNT(P12,AA12,AL12)=0,"",AVERAGE(P12,AA12,AL12))</f>
        <v/>
      </c>
      <c r="AX12" s="59">
        <f>IF(COUNT(Q12,AB12,AM12)=0,"",AVERAGE(Q12,AB12,AM12))</f>
        <v/>
      </c>
      <c r="AY12" s="60">
        <f>IF(OR($F12="",COUNT(R12,AC12,AN12)=0),"",AVERAGE(R12,AC12,AN12))</f>
        <v/>
      </c>
      <c r="AZ12" s="60">
        <f>IF(OR($G12="",$G12=$F12,COUNT(S12,AD12,AO12)=0),"",AVERAGE(S12,AD12,AO12))</f>
        <v/>
      </c>
      <c r="BA12" s="61">
        <f>IF(COUNT(AP12:AX12)=0,"",SUM(AP12:AX12))</f>
        <v/>
      </c>
      <c r="BB12" s="62">
        <f>IF(BA12="","",BA12/BA$6)</f>
        <v/>
      </c>
      <c r="BC12" s="14">
        <f>IF(BR12="","",COUNTIF($BR$7:$BR$26,"&gt;"&amp;BR12)+COUNTIF($BR$7:BR12,BR12))</f>
        <v/>
      </c>
      <c r="BD12" s="63">
        <f>IF(BC12="","",IF(BC12&lt;=Mapping!$C$11,"Shortlisted","Not shortlisted"))</f>
        <v/>
      </c>
      <c r="BE12" s="64">
        <f>IFERROR((AP12/AP$6*Mapping!$D$15+AQ12/AQ$6*Mapping!$D$16+AR12/AR$6*Mapping!$D$17+AS12/AS$6*Mapping!$D$18+AT12/AT$6*Mapping!$D$19+AU12/AU$6*Mapping!$D$20+AV12/AV$6*Mapping!$D$21+AW12/AW$6*Mapping!$D$22+AX12/AX$6*Mapping!$D$23)/SUM(Mapping!$D$15:$D$23),"")</f>
        <v/>
      </c>
      <c r="BF12" s="64">
        <f>IFERROR((AP12/AP$6*Mapping!$E$15+AQ12/AQ$6*Mapping!$E$16+AR12/AR$6*Mapping!$E$17+AS12/AS$6*Mapping!$E$18+AT12/AT$6*Mapping!$E$19+AU12/AU$6*Mapping!$E$20+AV12/AV$6*Mapping!$E$21+AW12/AW$6*Mapping!$E$22+AX12/AX$6*Mapping!$E$23)/SUM(Mapping!$E$15:$E$23),"")</f>
        <v/>
      </c>
      <c r="BG12" s="64">
        <f>IFERROR((AP12/AP$6*Mapping!$F$15+AQ12/AQ$6*Mapping!$F$16+AR12/AR$6*Mapping!$F$17+AS12/AS$6*Mapping!$F$18+AT12/AT$6*Mapping!$F$19+AU12/AU$6*Mapping!$F$20+AV12/AV$6*Mapping!$F$21+AW12/AW$6*Mapping!$F$22+AX12/AX$6*Mapping!$F$23)/SUM(Mapping!$F$15:$F$23),"")</f>
        <v/>
      </c>
      <c r="BH12" s="64">
        <f>IFERROR((AP12/AP$6*Mapping!$G$15+AQ12/AQ$6*Mapping!$G$16+AR12/AR$6*Mapping!$G$17+AS12/AS$6*Mapping!$G$18+AT12/AT$6*Mapping!$G$19+AU12/AU$6*Mapping!$G$20+AV12/AV$6*Mapping!$G$21+AW12/AW$6*Mapping!$G$22+AX12/AX$6*Mapping!$G$23)/SUM(Mapping!$G$15:$G$23),"")</f>
        <v/>
      </c>
      <c r="BI12" s="64">
        <f>IFERROR((AP12/AP$6*Mapping!$H$15+AQ12/AQ$6*Mapping!$H$16+AR12/AR$6*Mapping!$H$17+AS12/AS$6*Mapping!$H$18+AT12/AT$6*Mapping!$H$19+AU12/AU$6*Mapping!$H$20+AV12/AV$6*Mapping!$H$21+AW12/AW$6*Mapping!$H$22+AX12/AX$6*Mapping!$H$23)/SUM(Mapping!$H$15:$H$23),"")</f>
        <v/>
      </c>
      <c r="BJ12" s="64">
        <f>IFERROR((AP12/AP$6*Mapping!$I$15+AQ12/AQ$6*Mapping!$I$16+AR12/AR$6*Mapping!$I$17+AS12/AS$6*Mapping!$I$18+AT12/AT$6*Mapping!$I$19+AU12/AU$6*Mapping!$I$20+AV12/AV$6*Mapping!$I$21+AW12/AW$6*Mapping!$I$22+AX12/AX$6*Mapping!$I$23)/SUM(Mapping!$I$15:$I$23),"")</f>
        <v/>
      </c>
      <c r="BK12" s="64">
        <f>IFERROR((AP12/AP$6*Mapping!$J$15+AQ12/AQ$6*Mapping!$J$16+AR12/AR$6*Mapping!$J$17+AS12/AS$6*Mapping!$J$18+AT12/AT$6*Mapping!$J$19+AU12/AU$6*Mapping!$J$20+AV12/AV$6*Mapping!$J$21+AW12/AW$6*Mapping!$J$22+AX12/AX$6*Mapping!$J$23)/SUM(Mapping!$J$15:$J$23),"")</f>
        <v/>
      </c>
      <c r="BL12" s="64">
        <f>IFERROR((AP12/AP$6*Mapping!$K$15+AQ12/AQ$6*Mapping!$K$16+AR12/AR$6*Mapping!$K$17+AS12/AS$6*Mapping!$K$18+AT12/AT$6*Mapping!$K$19+AU12/AU$6*Mapping!$K$20+AV12/AV$6*Mapping!$K$21+AW12/AW$6*Mapping!$K$22+AX12/AX$6*Mapping!$K$23)/SUM(Mapping!$K$15:$K$23),"")</f>
        <v/>
      </c>
      <c r="BM12" s="64">
        <f>IFERROR((AP12/AP$6*Mapping!$L$15+AQ12/AQ$6*Mapping!$L$16+AR12/AR$6*Mapping!$L$17+AS12/AS$6*Mapping!$L$18+AT12/AT$6*Mapping!$L$19+AU12/AU$6*Mapping!$L$20+AV12/AV$6*Mapping!$L$21+AW12/AW$6*Mapping!$L$22+AX12/AX$6*Mapping!$L$23)/SUM(Mapping!$L$15:$L$23),"")</f>
        <v/>
      </c>
      <c r="BN12" s="64">
        <f>IFERROR((AP12/AP$6*Mapping!$M$15+AQ12/AQ$6*Mapping!$M$16+AR12/AR$6*Mapping!$M$17+AS12/AS$6*Mapping!$M$18+AT12/AT$6*Mapping!$M$19+AU12/AU$6*Mapping!$M$20+AV12/AV$6*Mapping!$M$21+AW12/AW$6*Mapping!$M$22+AX12/AX$6*Mapping!$M$23)/SUM(Mapping!$M$15:$M$23),"")</f>
        <v/>
      </c>
      <c r="BO12" s="64">
        <f>IFERROR((AP12/AP$6*Mapping!$N$15+AQ12/AQ$6*Mapping!$N$16+AR12/AR$6*Mapping!$N$17+AS12/AS$6*Mapping!$N$18+AT12/AT$6*Mapping!$N$19+AU12/AU$6*Mapping!$N$20+AV12/AV$6*Mapping!$N$21+AW12/AW$6*Mapping!$N$22+AX12/AX$6*Mapping!$N$23)/SUM(Mapping!$N$15:$N$23),"")</f>
        <v/>
      </c>
      <c r="BP12" s="64">
        <f>IFERROR((AP12/AP$6*Mapping!$O$15+AQ12/AQ$6*Mapping!$O$16+AR12/AR$6*Mapping!$O$17+AS12/AS$6*Mapping!$O$18+AT12/AT$6*Mapping!$O$19+AU12/AU$6*Mapping!$O$20+AV12/AV$6*Mapping!$O$21+AW12/AW$6*Mapping!$O$22+AX12/AX$6*Mapping!$O$23)/SUM(Mapping!$O$15:$O$23),"")</f>
        <v/>
      </c>
      <c r="BQ12" s="64">
        <f>IFERROR((AP12/AP$6*Mapping!$P$15+AQ12/AQ$6*Mapping!$P$16+AR12/AR$6*Mapping!$P$17+AS12/AS$6*Mapping!$P$18+AT12/AT$6*Mapping!$P$19+AU12/AU$6*Mapping!$P$20+AV12/AV$6*Mapping!$P$21+AW12/AW$6*Mapping!$P$22+AX12/AX$6*Mapping!$P$23)/SUM(Mapping!$P$15:$P$23),"")</f>
        <v/>
      </c>
      <c r="BR12" s="65">
        <f>IF(BA12="","",BA12+N(AS12)/10000)</f>
        <v/>
      </c>
    </row>
    <row r="13" ht="30" customHeight="1">
      <c r="A13" s="28" t="n">
        <v>7</v>
      </c>
      <c r="B13" s="29" t="inlineStr">
        <is>
          <t>5th Sem - A</t>
        </is>
      </c>
      <c r="C13" s="29" t="n"/>
      <c r="D13" s="6" t="n"/>
      <c r="E13" s="6" t="n"/>
      <c r="F13" s="29" t="n"/>
      <c r="G13" s="29" t="n"/>
      <c r="H13" s="6" t="n"/>
      <c r="I13" s="29" t="n"/>
      <c r="J13" s="29" t="n"/>
      <c r="K13" s="29" t="n"/>
      <c r="L13" s="29" t="n"/>
      <c r="M13" s="29" t="n"/>
      <c r="N13" s="29" t="n"/>
      <c r="O13" s="29" t="n"/>
      <c r="P13" s="29" t="n"/>
      <c r="Q13" s="29" t="n"/>
      <c r="R13" s="29" t="n"/>
      <c r="S13" s="29" t="n"/>
      <c r="T13" s="29" t="n"/>
      <c r="U13" s="29" t="n"/>
      <c r="V13" s="29" t="n"/>
      <c r="W13" s="29" t="n"/>
      <c r="X13" s="29" t="n"/>
      <c r="Y13" s="29" t="n"/>
      <c r="Z13" s="29" t="n"/>
      <c r="AA13" s="29" t="n"/>
      <c r="AB13" s="29" t="n"/>
      <c r="AC13" s="29" t="n"/>
      <c r="AD13" s="29" t="n"/>
      <c r="AE13" s="29" t="n"/>
      <c r="AF13" s="29" t="n"/>
      <c r="AG13" s="29" t="n"/>
      <c r="AH13" s="29" t="n"/>
      <c r="AI13" s="29" t="n"/>
      <c r="AJ13" s="29" t="n"/>
      <c r="AK13" s="29" t="n"/>
      <c r="AL13" s="29" t="n"/>
      <c r="AM13" s="29" t="n"/>
      <c r="AN13" s="29" t="n"/>
      <c r="AO13" s="29" t="n"/>
      <c r="AP13" s="59">
        <f>IF(COUNT(I13,T13,AE13)=0,"",AVERAGE(I13,T13,AE13))</f>
        <v/>
      </c>
      <c r="AQ13" s="59">
        <f>IF(COUNT(J13,U13,AF13)=0,"",AVERAGE(J13,U13,AF13))</f>
        <v/>
      </c>
      <c r="AR13" s="59">
        <f>IF(COUNT(K13,V13,AG13)=0,"",AVERAGE(K13,V13,AG13))</f>
        <v/>
      </c>
      <c r="AS13" s="59">
        <f>IF(COUNT(L13,W13,AH13)=0,"",AVERAGE(L13,W13,AH13))</f>
        <v/>
      </c>
      <c r="AT13" s="59">
        <f>IF(COUNT(M13,X13,AI13)=0,"",AVERAGE(M13,X13,AI13))</f>
        <v/>
      </c>
      <c r="AU13" s="59">
        <f>IF(COUNT(N13,Y13,AJ13)=0,"",AVERAGE(N13,Y13,AJ13))</f>
        <v/>
      </c>
      <c r="AV13" s="59">
        <f>IF(COUNT(O13,Z13,AK13)=0,"",AVERAGE(O13,Z13,AK13))</f>
        <v/>
      </c>
      <c r="AW13" s="59">
        <f>IF(COUNT(P13,AA13,AL13)=0,"",AVERAGE(P13,AA13,AL13))</f>
        <v/>
      </c>
      <c r="AX13" s="59">
        <f>IF(COUNT(Q13,AB13,AM13)=0,"",AVERAGE(Q13,AB13,AM13))</f>
        <v/>
      </c>
      <c r="AY13" s="60">
        <f>IF(OR($F13="",COUNT(R13,AC13,AN13)=0),"",AVERAGE(R13,AC13,AN13))</f>
        <v/>
      </c>
      <c r="AZ13" s="60">
        <f>IF(OR($G13="",$G13=$F13,COUNT(S13,AD13,AO13)=0),"",AVERAGE(S13,AD13,AO13))</f>
        <v/>
      </c>
      <c r="BA13" s="61">
        <f>IF(COUNT(AP13:AX13)=0,"",SUM(AP13:AX13))</f>
        <v/>
      </c>
      <c r="BB13" s="62">
        <f>IF(BA13="","",BA13/BA$6)</f>
        <v/>
      </c>
      <c r="BC13" s="14">
        <f>IF(BR13="","",COUNTIF($BR$7:$BR$26,"&gt;"&amp;BR13)+COUNTIF($BR$7:BR13,BR13))</f>
        <v/>
      </c>
      <c r="BD13" s="63">
        <f>IF(BC13="","",IF(BC13&lt;=Mapping!$C$11,"Shortlisted","Not shortlisted"))</f>
        <v/>
      </c>
      <c r="BE13" s="64">
        <f>IFERROR((AP13/AP$6*Mapping!$D$15+AQ13/AQ$6*Mapping!$D$16+AR13/AR$6*Mapping!$D$17+AS13/AS$6*Mapping!$D$18+AT13/AT$6*Mapping!$D$19+AU13/AU$6*Mapping!$D$20+AV13/AV$6*Mapping!$D$21+AW13/AW$6*Mapping!$D$22+AX13/AX$6*Mapping!$D$23)/SUM(Mapping!$D$15:$D$23),"")</f>
        <v/>
      </c>
      <c r="BF13" s="64">
        <f>IFERROR((AP13/AP$6*Mapping!$E$15+AQ13/AQ$6*Mapping!$E$16+AR13/AR$6*Mapping!$E$17+AS13/AS$6*Mapping!$E$18+AT13/AT$6*Mapping!$E$19+AU13/AU$6*Mapping!$E$20+AV13/AV$6*Mapping!$E$21+AW13/AW$6*Mapping!$E$22+AX13/AX$6*Mapping!$E$23)/SUM(Mapping!$E$15:$E$23),"")</f>
        <v/>
      </c>
      <c r="BG13" s="64">
        <f>IFERROR((AP13/AP$6*Mapping!$F$15+AQ13/AQ$6*Mapping!$F$16+AR13/AR$6*Mapping!$F$17+AS13/AS$6*Mapping!$F$18+AT13/AT$6*Mapping!$F$19+AU13/AU$6*Mapping!$F$20+AV13/AV$6*Mapping!$F$21+AW13/AW$6*Mapping!$F$22+AX13/AX$6*Mapping!$F$23)/SUM(Mapping!$F$15:$F$23),"")</f>
        <v/>
      </c>
      <c r="BH13" s="64">
        <f>IFERROR((AP13/AP$6*Mapping!$G$15+AQ13/AQ$6*Mapping!$G$16+AR13/AR$6*Mapping!$G$17+AS13/AS$6*Mapping!$G$18+AT13/AT$6*Mapping!$G$19+AU13/AU$6*Mapping!$G$20+AV13/AV$6*Mapping!$G$21+AW13/AW$6*Mapping!$G$22+AX13/AX$6*Mapping!$G$23)/SUM(Mapping!$G$15:$G$23),"")</f>
        <v/>
      </c>
      <c r="BI13" s="64">
        <f>IFERROR((AP13/AP$6*Mapping!$H$15+AQ13/AQ$6*Mapping!$H$16+AR13/AR$6*Mapping!$H$17+AS13/AS$6*Mapping!$H$18+AT13/AT$6*Mapping!$H$19+AU13/AU$6*Mapping!$H$20+AV13/AV$6*Mapping!$H$21+AW13/AW$6*Mapping!$H$22+AX13/AX$6*Mapping!$H$23)/SUM(Mapping!$H$15:$H$23),"")</f>
        <v/>
      </c>
      <c r="BJ13" s="64">
        <f>IFERROR((AP13/AP$6*Mapping!$I$15+AQ13/AQ$6*Mapping!$I$16+AR13/AR$6*Mapping!$I$17+AS13/AS$6*Mapping!$I$18+AT13/AT$6*Mapping!$I$19+AU13/AU$6*Mapping!$I$20+AV13/AV$6*Mapping!$I$21+AW13/AW$6*Mapping!$I$22+AX13/AX$6*Mapping!$I$23)/SUM(Mapping!$I$15:$I$23),"")</f>
        <v/>
      </c>
      <c r="BK13" s="64">
        <f>IFERROR((AP13/AP$6*Mapping!$J$15+AQ13/AQ$6*Mapping!$J$16+AR13/AR$6*Mapping!$J$17+AS13/AS$6*Mapping!$J$18+AT13/AT$6*Mapping!$J$19+AU13/AU$6*Mapping!$J$20+AV13/AV$6*Mapping!$J$21+AW13/AW$6*Mapping!$J$22+AX13/AX$6*Mapping!$J$23)/SUM(Mapping!$J$15:$J$23),"")</f>
        <v/>
      </c>
      <c r="BL13" s="64">
        <f>IFERROR((AP13/AP$6*Mapping!$K$15+AQ13/AQ$6*Mapping!$K$16+AR13/AR$6*Mapping!$K$17+AS13/AS$6*Mapping!$K$18+AT13/AT$6*Mapping!$K$19+AU13/AU$6*Mapping!$K$20+AV13/AV$6*Mapping!$K$21+AW13/AW$6*Mapping!$K$22+AX13/AX$6*Mapping!$K$23)/SUM(Mapping!$K$15:$K$23),"")</f>
        <v/>
      </c>
      <c r="BM13" s="64">
        <f>IFERROR((AP13/AP$6*Mapping!$L$15+AQ13/AQ$6*Mapping!$L$16+AR13/AR$6*Mapping!$L$17+AS13/AS$6*Mapping!$L$18+AT13/AT$6*Mapping!$L$19+AU13/AU$6*Mapping!$L$20+AV13/AV$6*Mapping!$L$21+AW13/AW$6*Mapping!$L$22+AX13/AX$6*Mapping!$L$23)/SUM(Mapping!$L$15:$L$23),"")</f>
        <v/>
      </c>
      <c r="BN13" s="64">
        <f>IFERROR((AP13/AP$6*Mapping!$M$15+AQ13/AQ$6*Mapping!$M$16+AR13/AR$6*Mapping!$M$17+AS13/AS$6*Mapping!$M$18+AT13/AT$6*Mapping!$M$19+AU13/AU$6*Mapping!$M$20+AV13/AV$6*Mapping!$M$21+AW13/AW$6*Mapping!$M$22+AX13/AX$6*Mapping!$M$23)/SUM(Mapping!$M$15:$M$23),"")</f>
        <v/>
      </c>
      <c r="BO13" s="64">
        <f>IFERROR((AP13/AP$6*Mapping!$N$15+AQ13/AQ$6*Mapping!$N$16+AR13/AR$6*Mapping!$N$17+AS13/AS$6*Mapping!$N$18+AT13/AT$6*Mapping!$N$19+AU13/AU$6*Mapping!$N$20+AV13/AV$6*Mapping!$N$21+AW13/AW$6*Mapping!$N$22+AX13/AX$6*Mapping!$N$23)/SUM(Mapping!$N$15:$N$23),"")</f>
        <v/>
      </c>
      <c r="BP13" s="64">
        <f>IFERROR((AP13/AP$6*Mapping!$O$15+AQ13/AQ$6*Mapping!$O$16+AR13/AR$6*Mapping!$O$17+AS13/AS$6*Mapping!$O$18+AT13/AT$6*Mapping!$O$19+AU13/AU$6*Mapping!$O$20+AV13/AV$6*Mapping!$O$21+AW13/AW$6*Mapping!$O$22+AX13/AX$6*Mapping!$O$23)/SUM(Mapping!$O$15:$O$23),"")</f>
        <v/>
      </c>
      <c r="BQ13" s="64">
        <f>IFERROR((AP13/AP$6*Mapping!$P$15+AQ13/AQ$6*Mapping!$P$16+AR13/AR$6*Mapping!$P$17+AS13/AS$6*Mapping!$P$18+AT13/AT$6*Mapping!$P$19+AU13/AU$6*Mapping!$P$20+AV13/AV$6*Mapping!$P$21+AW13/AW$6*Mapping!$P$22+AX13/AX$6*Mapping!$P$23)/SUM(Mapping!$P$15:$P$23),"")</f>
        <v/>
      </c>
      <c r="BR13" s="65">
        <f>IF(BA13="","",BA13+N(AS13)/10000)</f>
        <v/>
      </c>
    </row>
    <row r="14" ht="30" customHeight="1">
      <c r="A14" s="28" t="n">
        <v>8</v>
      </c>
      <c r="B14" s="29" t="inlineStr">
        <is>
          <t>5th Sem - A</t>
        </is>
      </c>
      <c r="C14" s="29" t="n"/>
      <c r="D14" s="6" t="n"/>
      <c r="E14" s="6" t="n"/>
      <c r="F14" s="29" t="n"/>
      <c r="G14" s="29" t="n"/>
      <c r="H14" s="6" t="n"/>
      <c r="I14" s="29" t="n"/>
      <c r="J14" s="29" t="n"/>
      <c r="K14" s="29" t="n"/>
      <c r="L14" s="29" t="n"/>
      <c r="M14" s="29" t="n"/>
      <c r="N14" s="29" t="n"/>
      <c r="O14" s="29" t="n"/>
      <c r="P14" s="29" t="n"/>
      <c r="Q14" s="29" t="n"/>
      <c r="R14" s="29" t="n"/>
      <c r="S14" s="29" t="n"/>
      <c r="T14" s="29" t="n"/>
      <c r="U14" s="29" t="n"/>
      <c r="V14" s="29" t="n"/>
      <c r="W14" s="29" t="n"/>
      <c r="X14" s="29" t="n"/>
      <c r="Y14" s="29" t="n"/>
      <c r="Z14" s="29" t="n"/>
      <c r="AA14" s="29" t="n"/>
      <c r="AB14" s="29" t="n"/>
      <c r="AC14" s="29" t="n"/>
      <c r="AD14" s="29" t="n"/>
      <c r="AE14" s="29" t="n"/>
      <c r="AF14" s="29" t="n"/>
      <c r="AG14" s="29" t="n"/>
      <c r="AH14" s="29" t="n"/>
      <c r="AI14" s="29" t="n"/>
      <c r="AJ14" s="29" t="n"/>
      <c r="AK14" s="29" t="n"/>
      <c r="AL14" s="29" t="n"/>
      <c r="AM14" s="29" t="n"/>
      <c r="AN14" s="29" t="n"/>
      <c r="AO14" s="29" t="n"/>
      <c r="AP14" s="59">
        <f>IF(COUNT(I14,T14,AE14)=0,"",AVERAGE(I14,T14,AE14))</f>
        <v/>
      </c>
      <c r="AQ14" s="59">
        <f>IF(COUNT(J14,U14,AF14)=0,"",AVERAGE(J14,U14,AF14))</f>
        <v/>
      </c>
      <c r="AR14" s="59">
        <f>IF(COUNT(K14,V14,AG14)=0,"",AVERAGE(K14,V14,AG14))</f>
        <v/>
      </c>
      <c r="AS14" s="59">
        <f>IF(COUNT(L14,W14,AH14)=0,"",AVERAGE(L14,W14,AH14))</f>
        <v/>
      </c>
      <c r="AT14" s="59">
        <f>IF(COUNT(M14,X14,AI14)=0,"",AVERAGE(M14,X14,AI14))</f>
        <v/>
      </c>
      <c r="AU14" s="59">
        <f>IF(COUNT(N14,Y14,AJ14)=0,"",AVERAGE(N14,Y14,AJ14))</f>
        <v/>
      </c>
      <c r="AV14" s="59">
        <f>IF(COUNT(O14,Z14,AK14)=0,"",AVERAGE(O14,Z14,AK14))</f>
        <v/>
      </c>
      <c r="AW14" s="59">
        <f>IF(COUNT(P14,AA14,AL14)=0,"",AVERAGE(P14,AA14,AL14))</f>
        <v/>
      </c>
      <c r="AX14" s="59">
        <f>IF(COUNT(Q14,AB14,AM14)=0,"",AVERAGE(Q14,AB14,AM14))</f>
        <v/>
      </c>
      <c r="AY14" s="60">
        <f>IF(OR($F14="",COUNT(R14,AC14,AN14)=0),"",AVERAGE(R14,AC14,AN14))</f>
        <v/>
      </c>
      <c r="AZ14" s="60">
        <f>IF(OR($G14="",$G14=$F14,COUNT(S14,AD14,AO14)=0),"",AVERAGE(S14,AD14,AO14))</f>
        <v/>
      </c>
      <c r="BA14" s="61">
        <f>IF(COUNT(AP14:AX14)=0,"",SUM(AP14:AX14))</f>
        <v/>
      </c>
      <c r="BB14" s="62">
        <f>IF(BA14="","",BA14/BA$6)</f>
        <v/>
      </c>
      <c r="BC14" s="14">
        <f>IF(BR14="","",COUNTIF($BR$7:$BR$26,"&gt;"&amp;BR14)+COUNTIF($BR$7:BR14,BR14))</f>
        <v/>
      </c>
      <c r="BD14" s="63">
        <f>IF(BC14="","",IF(BC14&lt;=Mapping!$C$11,"Shortlisted","Not shortlisted"))</f>
        <v/>
      </c>
      <c r="BE14" s="64">
        <f>IFERROR((AP14/AP$6*Mapping!$D$15+AQ14/AQ$6*Mapping!$D$16+AR14/AR$6*Mapping!$D$17+AS14/AS$6*Mapping!$D$18+AT14/AT$6*Mapping!$D$19+AU14/AU$6*Mapping!$D$20+AV14/AV$6*Mapping!$D$21+AW14/AW$6*Mapping!$D$22+AX14/AX$6*Mapping!$D$23)/SUM(Mapping!$D$15:$D$23),"")</f>
        <v/>
      </c>
      <c r="BF14" s="64">
        <f>IFERROR((AP14/AP$6*Mapping!$E$15+AQ14/AQ$6*Mapping!$E$16+AR14/AR$6*Mapping!$E$17+AS14/AS$6*Mapping!$E$18+AT14/AT$6*Mapping!$E$19+AU14/AU$6*Mapping!$E$20+AV14/AV$6*Mapping!$E$21+AW14/AW$6*Mapping!$E$22+AX14/AX$6*Mapping!$E$23)/SUM(Mapping!$E$15:$E$23),"")</f>
        <v/>
      </c>
      <c r="BG14" s="64">
        <f>IFERROR((AP14/AP$6*Mapping!$F$15+AQ14/AQ$6*Mapping!$F$16+AR14/AR$6*Mapping!$F$17+AS14/AS$6*Mapping!$F$18+AT14/AT$6*Mapping!$F$19+AU14/AU$6*Mapping!$F$20+AV14/AV$6*Mapping!$F$21+AW14/AW$6*Mapping!$F$22+AX14/AX$6*Mapping!$F$23)/SUM(Mapping!$F$15:$F$23),"")</f>
        <v/>
      </c>
      <c r="BH14" s="64">
        <f>IFERROR((AP14/AP$6*Mapping!$G$15+AQ14/AQ$6*Mapping!$G$16+AR14/AR$6*Mapping!$G$17+AS14/AS$6*Mapping!$G$18+AT14/AT$6*Mapping!$G$19+AU14/AU$6*Mapping!$G$20+AV14/AV$6*Mapping!$G$21+AW14/AW$6*Mapping!$G$22+AX14/AX$6*Mapping!$G$23)/SUM(Mapping!$G$15:$G$23),"")</f>
        <v/>
      </c>
      <c r="BI14" s="64">
        <f>IFERROR((AP14/AP$6*Mapping!$H$15+AQ14/AQ$6*Mapping!$H$16+AR14/AR$6*Mapping!$H$17+AS14/AS$6*Mapping!$H$18+AT14/AT$6*Mapping!$H$19+AU14/AU$6*Mapping!$H$20+AV14/AV$6*Mapping!$H$21+AW14/AW$6*Mapping!$H$22+AX14/AX$6*Mapping!$H$23)/SUM(Mapping!$H$15:$H$23),"")</f>
        <v/>
      </c>
      <c r="BJ14" s="64">
        <f>IFERROR((AP14/AP$6*Mapping!$I$15+AQ14/AQ$6*Mapping!$I$16+AR14/AR$6*Mapping!$I$17+AS14/AS$6*Mapping!$I$18+AT14/AT$6*Mapping!$I$19+AU14/AU$6*Mapping!$I$20+AV14/AV$6*Mapping!$I$21+AW14/AW$6*Mapping!$I$22+AX14/AX$6*Mapping!$I$23)/SUM(Mapping!$I$15:$I$23),"")</f>
        <v/>
      </c>
      <c r="BK14" s="64">
        <f>IFERROR((AP14/AP$6*Mapping!$J$15+AQ14/AQ$6*Mapping!$J$16+AR14/AR$6*Mapping!$J$17+AS14/AS$6*Mapping!$J$18+AT14/AT$6*Mapping!$J$19+AU14/AU$6*Mapping!$J$20+AV14/AV$6*Mapping!$J$21+AW14/AW$6*Mapping!$J$22+AX14/AX$6*Mapping!$J$23)/SUM(Mapping!$J$15:$J$23),"")</f>
        <v/>
      </c>
      <c r="BL14" s="64">
        <f>IFERROR((AP14/AP$6*Mapping!$K$15+AQ14/AQ$6*Mapping!$K$16+AR14/AR$6*Mapping!$K$17+AS14/AS$6*Mapping!$K$18+AT14/AT$6*Mapping!$K$19+AU14/AU$6*Mapping!$K$20+AV14/AV$6*Mapping!$K$21+AW14/AW$6*Mapping!$K$22+AX14/AX$6*Mapping!$K$23)/SUM(Mapping!$K$15:$K$23),"")</f>
        <v/>
      </c>
      <c r="BM14" s="64">
        <f>IFERROR((AP14/AP$6*Mapping!$L$15+AQ14/AQ$6*Mapping!$L$16+AR14/AR$6*Mapping!$L$17+AS14/AS$6*Mapping!$L$18+AT14/AT$6*Mapping!$L$19+AU14/AU$6*Mapping!$L$20+AV14/AV$6*Mapping!$L$21+AW14/AW$6*Mapping!$L$22+AX14/AX$6*Mapping!$L$23)/SUM(Mapping!$L$15:$L$23),"")</f>
        <v/>
      </c>
      <c r="BN14" s="64">
        <f>IFERROR((AP14/AP$6*Mapping!$M$15+AQ14/AQ$6*Mapping!$M$16+AR14/AR$6*Mapping!$M$17+AS14/AS$6*Mapping!$M$18+AT14/AT$6*Mapping!$M$19+AU14/AU$6*Mapping!$M$20+AV14/AV$6*Mapping!$M$21+AW14/AW$6*Mapping!$M$22+AX14/AX$6*Mapping!$M$23)/SUM(Mapping!$M$15:$M$23),"")</f>
        <v/>
      </c>
      <c r="BO14" s="64">
        <f>IFERROR((AP14/AP$6*Mapping!$N$15+AQ14/AQ$6*Mapping!$N$16+AR14/AR$6*Mapping!$N$17+AS14/AS$6*Mapping!$N$18+AT14/AT$6*Mapping!$N$19+AU14/AU$6*Mapping!$N$20+AV14/AV$6*Mapping!$N$21+AW14/AW$6*Mapping!$N$22+AX14/AX$6*Mapping!$N$23)/SUM(Mapping!$N$15:$N$23),"")</f>
        <v/>
      </c>
      <c r="BP14" s="64">
        <f>IFERROR((AP14/AP$6*Mapping!$O$15+AQ14/AQ$6*Mapping!$O$16+AR14/AR$6*Mapping!$O$17+AS14/AS$6*Mapping!$O$18+AT14/AT$6*Mapping!$O$19+AU14/AU$6*Mapping!$O$20+AV14/AV$6*Mapping!$O$21+AW14/AW$6*Mapping!$O$22+AX14/AX$6*Mapping!$O$23)/SUM(Mapping!$O$15:$O$23),"")</f>
        <v/>
      </c>
      <c r="BQ14" s="64">
        <f>IFERROR((AP14/AP$6*Mapping!$P$15+AQ14/AQ$6*Mapping!$P$16+AR14/AR$6*Mapping!$P$17+AS14/AS$6*Mapping!$P$18+AT14/AT$6*Mapping!$P$19+AU14/AU$6*Mapping!$P$20+AV14/AV$6*Mapping!$P$21+AW14/AW$6*Mapping!$P$22+AX14/AX$6*Mapping!$P$23)/SUM(Mapping!$P$15:$P$23),"")</f>
        <v/>
      </c>
      <c r="BR14" s="65">
        <f>IF(BA14="","",BA14+N(AS14)/10000)</f>
        <v/>
      </c>
    </row>
    <row r="15" ht="30" customHeight="1">
      <c r="A15" s="28" t="n">
        <v>9</v>
      </c>
      <c r="B15" s="29" t="inlineStr">
        <is>
          <t>5th Sem - A</t>
        </is>
      </c>
      <c r="C15" s="29" t="n"/>
      <c r="D15" s="6" t="n"/>
      <c r="E15" s="6" t="n"/>
      <c r="F15" s="29" t="n"/>
      <c r="G15" s="29" t="n"/>
      <c r="H15" s="6" t="n"/>
      <c r="I15" s="29" t="n"/>
      <c r="J15" s="29" t="n"/>
      <c r="K15" s="29" t="n"/>
      <c r="L15" s="29" t="n"/>
      <c r="M15" s="29" t="n"/>
      <c r="N15" s="29" t="n"/>
      <c r="O15" s="29" t="n"/>
      <c r="P15" s="29" t="n"/>
      <c r="Q15" s="29" t="n"/>
      <c r="R15" s="29" t="n"/>
      <c r="S15" s="29" t="n"/>
      <c r="T15" s="29" t="n"/>
      <c r="U15" s="29" t="n"/>
      <c r="V15" s="29" t="n"/>
      <c r="W15" s="29" t="n"/>
      <c r="X15" s="29" t="n"/>
      <c r="Y15" s="29" t="n"/>
      <c r="Z15" s="29" t="n"/>
      <c r="AA15" s="29" t="n"/>
      <c r="AB15" s="29" t="n"/>
      <c r="AC15" s="29" t="n"/>
      <c r="AD15" s="29" t="n"/>
      <c r="AE15" s="29" t="n"/>
      <c r="AF15" s="29" t="n"/>
      <c r="AG15" s="29" t="n"/>
      <c r="AH15" s="29" t="n"/>
      <c r="AI15" s="29" t="n"/>
      <c r="AJ15" s="29" t="n"/>
      <c r="AK15" s="29" t="n"/>
      <c r="AL15" s="29" t="n"/>
      <c r="AM15" s="29" t="n"/>
      <c r="AN15" s="29" t="n"/>
      <c r="AO15" s="29" t="n"/>
      <c r="AP15" s="59">
        <f>IF(COUNT(I15,T15,AE15)=0,"",AVERAGE(I15,T15,AE15))</f>
        <v/>
      </c>
      <c r="AQ15" s="59">
        <f>IF(COUNT(J15,U15,AF15)=0,"",AVERAGE(J15,U15,AF15))</f>
        <v/>
      </c>
      <c r="AR15" s="59">
        <f>IF(COUNT(K15,V15,AG15)=0,"",AVERAGE(K15,V15,AG15))</f>
        <v/>
      </c>
      <c r="AS15" s="59">
        <f>IF(COUNT(L15,W15,AH15)=0,"",AVERAGE(L15,W15,AH15))</f>
        <v/>
      </c>
      <c r="AT15" s="59">
        <f>IF(COUNT(M15,X15,AI15)=0,"",AVERAGE(M15,X15,AI15))</f>
        <v/>
      </c>
      <c r="AU15" s="59">
        <f>IF(COUNT(N15,Y15,AJ15)=0,"",AVERAGE(N15,Y15,AJ15))</f>
        <v/>
      </c>
      <c r="AV15" s="59">
        <f>IF(COUNT(O15,Z15,AK15)=0,"",AVERAGE(O15,Z15,AK15))</f>
        <v/>
      </c>
      <c r="AW15" s="59">
        <f>IF(COUNT(P15,AA15,AL15)=0,"",AVERAGE(P15,AA15,AL15))</f>
        <v/>
      </c>
      <c r="AX15" s="59">
        <f>IF(COUNT(Q15,AB15,AM15)=0,"",AVERAGE(Q15,AB15,AM15))</f>
        <v/>
      </c>
      <c r="AY15" s="60">
        <f>IF(OR($F15="",COUNT(R15,AC15,AN15)=0),"",AVERAGE(R15,AC15,AN15))</f>
        <v/>
      </c>
      <c r="AZ15" s="60">
        <f>IF(OR($G15="",$G15=$F15,COUNT(S15,AD15,AO15)=0),"",AVERAGE(S15,AD15,AO15))</f>
        <v/>
      </c>
      <c r="BA15" s="61">
        <f>IF(COUNT(AP15:AX15)=0,"",SUM(AP15:AX15))</f>
        <v/>
      </c>
      <c r="BB15" s="62">
        <f>IF(BA15="","",BA15/BA$6)</f>
        <v/>
      </c>
      <c r="BC15" s="14">
        <f>IF(BR15="","",COUNTIF($BR$7:$BR$26,"&gt;"&amp;BR15)+COUNTIF($BR$7:BR15,BR15))</f>
        <v/>
      </c>
      <c r="BD15" s="63">
        <f>IF(BC15="","",IF(BC15&lt;=Mapping!$C$11,"Shortlisted","Not shortlisted"))</f>
        <v/>
      </c>
      <c r="BE15" s="64">
        <f>IFERROR((AP15/AP$6*Mapping!$D$15+AQ15/AQ$6*Mapping!$D$16+AR15/AR$6*Mapping!$D$17+AS15/AS$6*Mapping!$D$18+AT15/AT$6*Mapping!$D$19+AU15/AU$6*Mapping!$D$20+AV15/AV$6*Mapping!$D$21+AW15/AW$6*Mapping!$D$22+AX15/AX$6*Mapping!$D$23)/SUM(Mapping!$D$15:$D$23),"")</f>
        <v/>
      </c>
      <c r="BF15" s="64">
        <f>IFERROR((AP15/AP$6*Mapping!$E$15+AQ15/AQ$6*Mapping!$E$16+AR15/AR$6*Mapping!$E$17+AS15/AS$6*Mapping!$E$18+AT15/AT$6*Mapping!$E$19+AU15/AU$6*Mapping!$E$20+AV15/AV$6*Mapping!$E$21+AW15/AW$6*Mapping!$E$22+AX15/AX$6*Mapping!$E$23)/SUM(Mapping!$E$15:$E$23),"")</f>
        <v/>
      </c>
      <c r="BG15" s="64">
        <f>IFERROR((AP15/AP$6*Mapping!$F$15+AQ15/AQ$6*Mapping!$F$16+AR15/AR$6*Mapping!$F$17+AS15/AS$6*Mapping!$F$18+AT15/AT$6*Mapping!$F$19+AU15/AU$6*Mapping!$F$20+AV15/AV$6*Mapping!$F$21+AW15/AW$6*Mapping!$F$22+AX15/AX$6*Mapping!$F$23)/SUM(Mapping!$F$15:$F$23),"")</f>
        <v/>
      </c>
      <c r="BH15" s="64">
        <f>IFERROR((AP15/AP$6*Mapping!$G$15+AQ15/AQ$6*Mapping!$G$16+AR15/AR$6*Mapping!$G$17+AS15/AS$6*Mapping!$G$18+AT15/AT$6*Mapping!$G$19+AU15/AU$6*Mapping!$G$20+AV15/AV$6*Mapping!$G$21+AW15/AW$6*Mapping!$G$22+AX15/AX$6*Mapping!$G$23)/SUM(Mapping!$G$15:$G$23),"")</f>
        <v/>
      </c>
      <c r="BI15" s="64">
        <f>IFERROR((AP15/AP$6*Mapping!$H$15+AQ15/AQ$6*Mapping!$H$16+AR15/AR$6*Mapping!$H$17+AS15/AS$6*Mapping!$H$18+AT15/AT$6*Mapping!$H$19+AU15/AU$6*Mapping!$H$20+AV15/AV$6*Mapping!$H$21+AW15/AW$6*Mapping!$H$22+AX15/AX$6*Mapping!$H$23)/SUM(Mapping!$H$15:$H$23),"")</f>
        <v/>
      </c>
      <c r="BJ15" s="64">
        <f>IFERROR((AP15/AP$6*Mapping!$I$15+AQ15/AQ$6*Mapping!$I$16+AR15/AR$6*Mapping!$I$17+AS15/AS$6*Mapping!$I$18+AT15/AT$6*Mapping!$I$19+AU15/AU$6*Mapping!$I$20+AV15/AV$6*Mapping!$I$21+AW15/AW$6*Mapping!$I$22+AX15/AX$6*Mapping!$I$23)/SUM(Mapping!$I$15:$I$23),"")</f>
        <v/>
      </c>
      <c r="BK15" s="64">
        <f>IFERROR((AP15/AP$6*Mapping!$J$15+AQ15/AQ$6*Mapping!$J$16+AR15/AR$6*Mapping!$J$17+AS15/AS$6*Mapping!$J$18+AT15/AT$6*Mapping!$J$19+AU15/AU$6*Mapping!$J$20+AV15/AV$6*Mapping!$J$21+AW15/AW$6*Mapping!$J$22+AX15/AX$6*Mapping!$J$23)/SUM(Mapping!$J$15:$J$23),"")</f>
        <v/>
      </c>
      <c r="BL15" s="64">
        <f>IFERROR((AP15/AP$6*Mapping!$K$15+AQ15/AQ$6*Mapping!$K$16+AR15/AR$6*Mapping!$K$17+AS15/AS$6*Mapping!$K$18+AT15/AT$6*Mapping!$K$19+AU15/AU$6*Mapping!$K$20+AV15/AV$6*Mapping!$K$21+AW15/AW$6*Mapping!$K$22+AX15/AX$6*Mapping!$K$23)/SUM(Mapping!$K$15:$K$23),"")</f>
        <v/>
      </c>
      <c r="BM15" s="64">
        <f>IFERROR((AP15/AP$6*Mapping!$L$15+AQ15/AQ$6*Mapping!$L$16+AR15/AR$6*Mapping!$L$17+AS15/AS$6*Mapping!$L$18+AT15/AT$6*Mapping!$L$19+AU15/AU$6*Mapping!$L$20+AV15/AV$6*Mapping!$L$21+AW15/AW$6*Mapping!$L$22+AX15/AX$6*Mapping!$L$23)/SUM(Mapping!$L$15:$L$23),"")</f>
        <v/>
      </c>
      <c r="BN15" s="64">
        <f>IFERROR((AP15/AP$6*Mapping!$M$15+AQ15/AQ$6*Mapping!$M$16+AR15/AR$6*Mapping!$M$17+AS15/AS$6*Mapping!$M$18+AT15/AT$6*Mapping!$M$19+AU15/AU$6*Mapping!$M$20+AV15/AV$6*Mapping!$M$21+AW15/AW$6*Mapping!$M$22+AX15/AX$6*Mapping!$M$23)/SUM(Mapping!$M$15:$M$23),"")</f>
        <v/>
      </c>
      <c r="BO15" s="64">
        <f>IFERROR((AP15/AP$6*Mapping!$N$15+AQ15/AQ$6*Mapping!$N$16+AR15/AR$6*Mapping!$N$17+AS15/AS$6*Mapping!$N$18+AT15/AT$6*Mapping!$N$19+AU15/AU$6*Mapping!$N$20+AV15/AV$6*Mapping!$N$21+AW15/AW$6*Mapping!$N$22+AX15/AX$6*Mapping!$N$23)/SUM(Mapping!$N$15:$N$23),"")</f>
        <v/>
      </c>
      <c r="BP15" s="64">
        <f>IFERROR((AP15/AP$6*Mapping!$O$15+AQ15/AQ$6*Mapping!$O$16+AR15/AR$6*Mapping!$O$17+AS15/AS$6*Mapping!$O$18+AT15/AT$6*Mapping!$O$19+AU15/AU$6*Mapping!$O$20+AV15/AV$6*Mapping!$O$21+AW15/AW$6*Mapping!$O$22+AX15/AX$6*Mapping!$O$23)/SUM(Mapping!$O$15:$O$23),"")</f>
        <v/>
      </c>
      <c r="BQ15" s="64">
        <f>IFERROR((AP15/AP$6*Mapping!$P$15+AQ15/AQ$6*Mapping!$P$16+AR15/AR$6*Mapping!$P$17+AS15/AS$6*Mapping!$P$18+AT15/AT$6*Mapping!$P$19+AU15/AU$6*Mapping!$P$20+AV15/AV$6*Mapping!$P$21+AW15/AW$6*Mapping!$P$22+AX15/AX$6*Mapping!$P$23)/SUM(Mapping!$P$15:$P$23),"")</f>
        <v/>
      </c>
      <c r="BR15" s="65">
        <f>IF(BA15="","",BA15+N(AS15)/10000)</f>
        <v/>
      </c>
    </row>
    <row r="16" ht="30" customHeight="1">
      <c r="A16" s="28" t="n">
        <v>10</v>
      </c>
      <c r="B16" s="29" t="inlineStr">
        <is>
          <t>5th Sem - A</t>
        </is>
      </c>
      <c r="C16" s="29" t="n"/>
      <c r="D16" s="6" t="n"/>
      <c r="E16" s="6" t="n"/>
      <c r="F16" s="29" t="n"/>
      <c r="G16" s="29" t="n"/>
      <c r="H16" s="6" t="n"/>
      <c r="I16" s="29" t="n"/>
      <c r="J16" s="29" t="n"/>
      <c r="K16" s="29" t="n"/>
      <c r="L16" s="29" t="n"/>
      <c r="M16" s="29" t="n"/>
      <c r="N16" s="29" t="n"/>
      <c r="O16" s="29" t="n"/>
      <c r="P16" s="29" t="n"/>
      <c r="Q16" s="29" t="n"/>
      <c r="R16" s="29" t="n"/>
      <c r="S16" s="29" t="n"/>
      <c r="T16" s="29" t="n"/>
      <c r="U16" s="29" t="n"/>
      <c r="V16" s="29" t="n"/>
      <c r="W16" s="29" t="n"/>
      <c r="X16" s="29" t="n"/>
      <c r="Y16" s="29" t="n"/>
      <c r="Z16" s="29" t="n"/>
      <c r="AA16" s="29" t="n"/>
      <c r="AB16" s="29" t="n"/>
      <c r="AC16" s="29" t="n"/>
      <c r="AD16" s="29" t="n"/>
      <c r="AE16" s="29" t="n"/>
      <c r="AF16" s="29" t="n"/>
      <c r="AG16" s="29" t="n"/>
      <c r="AH16" s="29" t="n"/>
      <c r="AI16" s="29" t="n"/>
      <c r="AJ16" s="29" t="n"/>
      <c r="AK16" s="29" t="n"/>
      <c r="AL16" s="29" t="n"/>
      <c r="AM16" s="29" t="n"/>
      <c r="AN16" s="29" t="n"/>
      <c r="AO16" s="29" t="n"/>
      <c r="AP16" s="59">
        <f>IF(COUNT(I16,T16,AE16)=0,"",AVERAGE(I16,T16,AE16))</f>
        <v/>
      </c>
      <c r="AQ16" s="59">
        <f>IF(COUNT(J16,U16,AF16)=0,"",AVERAGE(J16,U16,AF16))</f>
        <v/>
      </c>
      <c r="AR16" s="59">
        <f>IF(COUNT(K16,V16,AG16)=0,"",AVERAGE(K16,V16,AG16))</f>
        <v/>
      </c>
      <c r="AS16" s="59">
        <f>IF(COUNT(L16,W16,AH16)=0,"",AVERAGE(L16,W16,AH16))</f>
        <v/>
      </c>
      <c r="AT16" s="59">
        <f>IF(COUNT(M16,X16,AI16)=0,"",AVERAGE(M16,X16,AI16))</f>
        <v/>
      </c>
      <c r="AU16" s="59">
        <f>IF(COUNT(N16,Y16,AJ16)=0,"",AVERAGE(N16,Y16,AJ16))</f>
        <v/>
      </c>
      <c r="AV16" s="59">
        <f>IF(COUNT(O16,Z16,AK16)=0,"",AVERAGE(O16,Z16,AK16))</f>
        <v/>
      </c>
      <c r="AW16" s="59">
        <f>IF(COUNT(P16,AA16,AL16)=0,"",AVERAGE(P16,AA16,AL16))</f>
        <v/>
      </c>
      <c r="AX16" s="59">
        <f>IF(COUNT(Q16,AB16,AM16)=0,"",AVERAGE(Q16,AB16,AM16))</f>
        <v/>
      </c>
      <c r="AY16" s="60">
        <f>IF(OR($F16="",COUNT(R16,AC16,AN16)=0),"",AVERAGE(R16,AC16,AN16))</f>
        <v/>
      </c>
      <c r="AZ16" s="60">
        <f>IF(OR($G16="",$G16=$F16,COUNT(S16,AD16,AO16)=0),"",AVERAGE(S16,AD16,AO16))</f>
        <v/>
      </c>
      <c r="BA16" s="61">
        <f>IF(COUNT(AP16:AX16)=0,"",SUM(AP16:AX16))</f>
        <v/>
      </c>
      <c r="BB16" s="62">
        <f>IF(BA16="","",BA16/BA$6)</f>
        <v/>
      </c>
      <c r="BC16" s="14">
        <f>IF(BR16="","",COUNTIF($BR$7:$BR$26,"&gt;"&amp;BR16)+COUNTIF($BR$7:BR16,BR16))</f>
        <v/>
      </c>
      <c r="BD16" s="63">
        <f>IF(BC16="","",IF(BC16&lt;=Mapping!$C$11,"Shortlisted","Not shortlisted"))</f>
        <v/>
      </c>
      <c r="BE16" s="64">
        <f>IFERROR((AP16/AP$6*Mapping!$D$15+AQ16/AQ$6*Mapping!$D$16+AR16/AR$6*Mapping!$D$17+AS16/AS$6*Mapping!$D$18+AT16/AT$6*Mapping!$D$19+AU16/AU$6*Mapping!$D$20+AV16/AV$6*Mapping!$D$21+AW16/AW$6*Mapping!$D$22+AX16/AX$6*Mapping!$D$23)/SUM(Mapping!$D$15:$D$23),"")</f>
        <v/>
      </c>
      <c r="BF16" s="64">
        <f>IFERROR((AP16/AP$6*Mapping!$E$15+AQ16/AQ$6*Mapping!$E$16+AR16/AR$6*Mapping!$E$17+AS16/AS$6*Mapping!$E$18+AT16/AT$6*Mapping!$E$19+AU16/AU$6*Mapping!$E$20+AV16/AV$6*Mapping!$E$21+AW16/AW$6*Mapping!$E$22+AX16/AX$6*Mapping!$E$23)/SUM(Mapping!$E$15:$E$23),"")</f>
        <v/>
      </c>
      <c r="BG16" s="64">
        <f>IFERROR((AP16/AP$6*Mapping!$F$15+AQ16/AQ$6*Mapping!$F$16+AR16/AR$6*Mapping!$F$17+AS16/AS$6*Mapping!$F$18+AT16/AT$6*Mapping!$F$19+AU16/AU$6*Mapping!$F$20+AV16/AV$6*Mapping!$F$21+AW16/AW$6*Mapping!$F$22+AX16/AX$6*Mapping!$F$23)/SUM(Mapping!$F$15:$F$23),"")</f>
        <v/>
      </c>
      <c r="BH16" s="64">
        <f>IFERROR((AP16/AP$6*Mapping!$G$15+AQ16/AQ$6*Mapping!$G$16+AR16/AR$6*Mapping!$G$17+AS16/AS$6*Mapping!$G$18+AT16/AT$6*Mapping!$G$19+AU16/AU$6*Mapping!$G$20+AV16/AV$6*Mapping!$G$21+AW16/AW$6*Mapping!$G$22+AX16/AX$6*Mapping!$G$23)/SUM(Mapping!$G$15:$G$23),"")</f>
        <v/>
      </c>
      <c r="BI16" s="64">
        <f>IFERROR((AP16/AP$6*Mapping!$H$15+AQ16/AQ$6*Mapping!$H$16+AR16/AR$6*Mapping!$H$17+AS16/AS$6*Mapping!$H$18+AT16/AT$6*Mapping!$H$19+AU16/AU$6*Mapping!$H$20+AV16/AV$6*Mapping!$H$21+AW16/AW$6*Mapping!$H$22+AX16/AX$6*Mapping!$H$23)/SUM(Mapping!$H$15:$H$23),"")</f>
        <v/>
      </c>
      <c r="BJ16" s="64">
        <f>IFERROR((AP16/AP$6*Mapping!$I$15+AQ16/AQ$6*Mapping!$I$16+AR16/AR$6*Mapping!$I$17+AS16/AS$6*Mapping!$I$18+AT16/AT$6*Mapping!$I$19+AU16/AU$6*Mapping!$I$20+AV16/AV$6*Mapping!$I$21+AW16/AW$6*Mapping!$I$22+AX16/AX$6*Mapping!$I$23)/SUM(Mapping!$I$15:$I$23),"")</f>
        <v/>
      </c>
      <c r="BK16" s="64">
        <f>IFERROR((AP16/AP$6*Mapping!$J$15+AQ16/AQ$6*Mapping!$J$16+AR16/AR$6*Mapping!$J$17+AS16/AS$6*Mapping!$J$18+AT16/AT$6*Mapping!$J$19+AU16/AU$6*Mapping!$J$20+AV16/AV$6*Mapping!$J$21+AW16/AW$6*Mapping!$J$22+AX16/AX$6*Mapping!$J$23)/SUM(Mapping!$J$15:$J$23),"")</f>
        <v/>
      </c>
      <c r="BL16" s="64">
        <f>IFERROR((AP16/AP$6*Mapping!$K$15+AQ16/AQ$6*Mapping!$K$16+AR16/AR$6*Mapping!$K$17+AS16/AS$6*Mapping!$K$18+AT16/AT$6*Mapping!$K$19+AU16/AU$6*Mapping!$K$20+AV16/AV$6*Mapping!$K$21+AW16/AW$6*Mapping!$K$22+AX16/AX$6*Mapping!$K$23)/SUM(Mapping!$K$15:$K$23),"")</f>
        <v/>
      </c>
      <c r="BM16" s="64">
        <f>IFERROR((AP16/AP$6*Mapping!$L$15+AQ16/AQ$6*Mapping!$L$16+AR16/AR$6*Mapping!$L$17+AS16/AS$6*Mapping!$L$18+AT16/AT$6*Mapping!$L$19+AU16/AU$6*Mapping!$L$20+AV16/AV$6*Mapping!$L$21+AW16/AW$6*Mapping!$L$22+AX16/AX$6*Mapping!$L$23)/SUM(Mapping!$L$15:$L$23),"")</f>
        <v/>
      </c>
      <c r="BN16" s="64">
        <f>IFERROR((AP16/AP$6*Mapping!$M$15+AQ16/AQ$6*Mapping!$M$16+AR16/AR$6*Mapping!$M$17+AS16/AS$6*Mapping!$M$18+AT16/AT$6*Mapping!$M$19+AU16/AU$6*Mapping!$M$20+AV16/AV$6*Mapping!$M$21+AW16/AW$6*Mapping!$M$22+AX16/AX$6*Mapping!$M$23)/SUM(Mapping!$M$15:$M$23),"")</f>
        <v/>
      </c>
      <c r="BO16" s="64">
        <f>IFERROR((AP16/AP$6*Mapping!$N$15+AQ16/AQ$6*Mapping!$N$16+AR16/AR$6*Mapping!$N$17+AS16/AS$6*Mapping!$N$18+AT16/AT$6*Mapping!$N$19+AU16/AU$6*Mapping!$N$20+AV16/AV$6*Mapping!$N$21+AW16/AW$6*Mapping!$N$22+AX16/AX$6*Mapping!$N$23)/SUM(Mapping!$N$15:$N$23),"")</f>
        <v/>
      </c>
      <c r="BP16" s="64">
        <f>IFERROR((AP16/AP$6*Mapping!$O$15+AQ16/AQ$6*Mapping!$O$16+AR16/AR$6*Mapping!$O$17+AS16/AS$6*Mapping!$O$18+AT16/AT$6*Mapping!$O$19+AU16/AU$6*Mapping!$O$20+AV16/AV$6*Mapping!$O$21+AW16/AW$6*Mapping!$O$22+AX16/AX$6*Mapping!$O$23)/SUM(Mapping!$O$15:$O$23),"")</f>
        <v/>
      </c>
      <c r="BQ16" s="64">
        <f>IFERROR((AP16/AP$6*Mapping!$P$15+AQ16/AQ$6*Mapping!$P$16+AR16/AR$6*Mapping!$P$17+AS16/AS$6*Mapping!$P$18+AT16/AT$6*Mapping!$P$19+AU16/AU$6*Mapping!$P$20+AV16/AV$6*Mapping!$P$21+AW16/AW$6*Mapping!$P$22+AX16/AX$6*Mapping!$P$23)/SUM(Mapping!$P$15:$P$23),"")</f>
        <v/>
      </c>
      <c r="BR16" s="65">
        <f>IF(BA16="","",BA16+N(AS16)/10000)</f>
        <v/>
      </c>
    </row>
    <row r="17" ht="30" customHeight="1">
      <c r="A17" s="28" t="n">
        <v>11</v>
      </c>
      <c r="B17" s="29" t="inlineStr">
        <is>
          <t>5th Sem - A</t>
        </is>
      </c>
      <c r="C17" s="29" t="n"/>
      <c r="D17" s="6" t="n"/>
      <c r="E17" s="6" t="n"/>
      <c r="F17" s="29" t="n"/>
      <c r="G17" s="29" t="n"/>
      <c r="H17" s="6" t="n"/>
      <c r="I17" s="29" t="n"/>
      <c r="J17" s="29" t="n"/>
      <c r="K17" s="29" t="n"/>
      <c r="L17" s="29" t="n"/>
      <c r="M17" s="29" t="n"/>
      <c r="N17" s="29" t="n"/>
      <c r="O17" s="29" t="n"/>
      <c r="P17" s="29" t="n"/>
      <c r="Q17" s="29" t="n"/>
      <c r="R17" s="29" t="n"/>
      <c r="S17" s="29" t="n"/>
      <c r="T17" s="29" t="n"/>
      <c r="U17" s="29" t="n"/>
      <c r="V17" s="29" t="n"/>
      <c r="W17" s="29" t="n"/>
      <c r="X17" s="29" t="n"/>
      <c r="Y17" s="29" t="n"/>
      <c r="Z17" s="29" t="n"/>
      <c r="AA17" s="29" t="n"/>
      <c r="AB17" s="29" t="n"/>
      <c r="AC17" s="29" t="n"/>
      <c r="AD17" s="29" t="n"/>
      <c r="AE17" s="29" t="n"/>
      <c r="AF17" s="29" t="n"/>
      <c r="AG17" s="29" t="n"/>
      <c r="AH17" s="29" t="n"/>
      <c r="AI17" s="29" t="n"/>
      <c r="AJ17" s="29" t="n"/>
      <c r="AK17" s="29" t="n"/>
      <c r="AL17" s="29" t="n"/>
      <c r="AM17" s="29" t="n"/>
      <c r="AN17" s="29" t="n"/>
      <c r="AO17" s="29" t="n"/>
      <c r="AP17" s="59">
        <f>IF(COUNT(I17,T17,AE17)=0,"",AVERAGE(I17,T17,AE17))</f>
        <v/>
      </c>
      <c r="AQ17" s="59">
        <f>IF(COUNT(J17,U17,AF17)=0,"",AVERAGE(J17,U17,AF17))</f>
        <v/>
      </c>
      <c r="AR17" s="59">
        <f>IF(COUNT(K17,V17,AG17)=0,"",AVERAGE(K17,V17,AG17))</f>
        <v/>
      </c>
      <c r="AS17" s="59">
        <f>IF(COUNT(L17,W17,AH17)=0,"",AVERAGE(L17,W17,AH17))</f>
        <v/>
      </c>
      <c r="AT17" s="59">
        <f>IF(COUNT(M17,X17,AI17)=0,"",AVERAGE(M17,X17,AI17))</f>
        <v/>
      </c>
      <c r="AU17" s="59">
        <f>IF(COUNT(N17,Y17,AJ17)=0,"",AVERAGE(N17,Y17,AJ17))</f>
        <v/>
      </c>
      <c r="AV17" s="59">
        <f>IF(COUNT(O17,Z17,AK17)=0,"",AVERAGE(O17,Z17,AK17))</f>
        <v/>
      </c>
      <c r="AW17" s="59">
        <f>IF(COUNT(P17,AA17,AL17)=0,"",AVERAGE(P17,AA17,AL17))</f>
        <v/>
      </c>
      <c r="AX17" s="59">
        <f>IF(COUNT(Q17,AB17,AM17)=0,"",AVERAGE(Q17,AB17,AM17))</f>
        <v/>
      </c>
      <c r="AY17" s="60">
        <f>IF(OR($F17="",COUNT(R17,AC17,AN17)=0),"",AVERAGE(R17,AC17,AN17))</f>
        <v/>
      </c>
      <c r="AZ17" s="60">
        <f>IF(OR($G17="",$G17=$F17,COUNT(S17,AD17,AO17)=0),"",AVERAGE(S17,AD17,AO17))</f>
        <v/>
      </c>
      <c r="BA17" s="61">
        <f>IF(COUNT(AP17:AX17)=0,"",SUM(AP17:AX17))</f>
        <v/>
      </c>
      <c r="BB17" s="62">
        <f>IF(BA17="","",BA17/BA$6)</f>
        <v/>
      </c>
      <c r="BC17" s="14">
        <f>IF(BR17="","",COUNTIF($BR$7:$BR$26,"&gt;"&amp;BR17)+COUNTIF($BR$7:BR17,BR17))</f>
        <v/>
      </c>
      <c r="BD17" s="63">
        <f>IF(BC17="","",IF(BC17&lt;=Mapping!$C$11,"Shortlisted","Not shortlisted"))</f>
        <v/>
      </c>
      <c r="BE17" s="64">
        <f>IFERROR((AP17/AP$6*Mapping!$D$15+AQ17/AQ$6*Mapping!$D$16+AR17/AR$6*Mapping!$D$17+AS17/AS$6*Mapping!$D$18+AT17/AT$6*Mapping!$D$19+AU17/AU$6*Mapping!$D$20+AV17/AV$6*Mapping!$D$21+AW17/AW$6*Mapping!$D$22+AX17/AX$6*Mapping!$D$23)/SUM(Mapping!$D$15:$D$23),"")</f>
        <v/>
      </c>
      <c r="BF17" s="64">
        <f>IFERROR((AP17/AP$6*Mapping!$E$15+AQ17/AQ$6*Mapping!$E$16+AR17/AR$6*Mapping!$E$17+AS17/AS$6*Mapping!$E$18+AT17/AT$6*Mapping!$E$19+AU17/AU$6*Mapping!$E$20+AV17/AV$6*Mapping!$E$21+AW17/AW$6*Mapping!$E$22+AX17/AX$6*Mapping!$E$23)/SUM(Mapping!$E$15:$E$23),"")</f>
        <v/>
      </c>
      <c r="BG17" s="64">
        <f>IFERROR((AP17/AP$6*Mapping!$F$15+AQ17/AQ$6*Mapping!$F$16+AR17/AR$6*Mapping!$F$17+AS17/AS$6*Mapping!$F$18+AT17/AT$6*Mapping!$F$19+AU17/AU$6*Mapping!$F$20+AV17/AV$6*Mapping!$F$21+AW17/AW$6*Mapping!$F$22+AX17/AX$6*Mapping!$F$23)/SUM(Mapping!$F$15:$F$23),"")</f>
        <v/>
      </c>
      <c r="BH17" s="64">
        <f>IFERROR((AP17/AP$6*Mapping!$G$15+AQ17/AQ$6*Mapping!$G$16+AR17/AR$6*Mapping!$G$17+AS17/AS$6*Mapping!$G$18+AT17/AT$6*Mapping!$G$19+AU17/AU$6*Mapping!$G$20+AV17/AV$6*Mapping!$G$21+AW17/AW$6*Mapping!$G$22+AX17/AX$6*Mapping!$G$23)/SUM(Mapping!$G$15:$G$23),"")</f>
        <v/>
      </c>
      <c r="BI17" s="64">
        <f>IFERROR((AP17/AP$6*Mapping!$H$15+AQ17/AQ$6*Mapping!$H$16+AR17/AR$6*Mapping!$H$17+AS17/AS$6*Mapping!$H$18+AT17/AT$6*Mapping!$H$19+AU17/AU$6*Mapping!$H$20+AV17/AV$6*Mapping!$H$21+AW17/AW$6*Mapping!$H$22+AX17/AX$6*Mapping!$H$23)/SUM(Mapping!$H$15:$H$23),"")</f>
        <v/>
      </c>
      <c r="BJ17" s="64">
        <f>IFERROR((AP17/AP$6*Mapping!$I$15+AQ17/AQ$6*Mapping!$I$16+AR17/AR$6*Mapping!$I$17+AS17/AS$6*Mapping!$I$18+AT17/AT$6*Mapping!$I$19+AU17/AU$6*Mapping!$I$20+AV17/AV$6*Mapping!$I$21+AW17/AW$6*Mapping!$I$22+AX17/AX$6*Mapping!$I$23)/SUM(Mapping!$I$15:$I$23),"")</f>
        <v/>
      </c>
      <c r="BK17" s="64">
        <f>IFERROR((AP17/AP$6*Mapping!$J$15+AQ17/AQ$6*Mapping!$J$16+AR17/AR$6*Mapping!$J$17+AS17/AS$6*Mapping!$J$18+AT17/AT$6*Mapping!$J$19+AU17/AU$6*Mapping!$J$20+AV17/AV$6*Mapping!$J$21+AW17/AW$6*Mapping!$J$22+AX17/AX$6*Mapping!$J$23)/SUM(Mapping!$J$15:$J$23),"")</f>
        <v/>
      </c>
      <c r="BL17" s="64">
        <f>IFERROR((AP17/AP$6*Mapping!$K$15+AQ17/AQ$6*Mapping!$K$16+AR17/AR$6*Mapping!$K$17+AS17/AS$6*Mapping!$K$18+AT17/AT$6*Mapping!$K$19+AU17/AU$6*Mapping!$K$20+AV17/AV$6*Mapping!$K$21+AW17/AW$6*Mapping!$K$22+AX17/AX$6*Mapping!$K$23)/SUM(Mapping!$K$15:$K$23),"")</f>
        <v/>
      </c>
      <c r="BM17" s="64">
        <f>IFERROR((AP17/AP$6*Mapping!$L$15+AQ17/AQ$6*Mapping!$L$16+AR17/AR$6*Mapping!$L$17+AS17/AS$6*Mapping!$L$18+AT17/AT$6*Mapping!$L$19+AU17/AU$6*Mapping!$L$20+AV17/AV$6*Mapping!$L$21+AW17/AW$6*Mapping!$L$22+AX17/AX$6*Mapping!$L$23)/SUM(Mapping!$L$15:$L$23),"")</f>
        <v/>
      </c>
      <c r="BN17" s="64">
        <f>IFERROR((AP17/AP$6*Mapping!$M$15+AQ17/AQ$6*Mapping!$M$16+AR17/AR$6*Mapping!$M$17+AS17/AS$6*Mapping!$M$18+AT17/AT$6*Mapping!$M$19+AU17/AU$6*Mapping!$M$20+AV17/AV$6*Mapping!$M$21+AW17/AW$6*Mapping!$M$22+AX17/AX$6*Mapping!$M$23)/SUM(Mapping!$M$15:$M$23),"")</f>
        <v/>
      </c>
      <c r="BO17" s="64">
        <f>IFERROR((AP17/AP$6*Mapping!$N$15+AQ17/AQ$6*Mapping!$N$16+AR17/AR$6*Mapping!$N$17+AS17/AS$6*Mapping!$N$18+AT17/AT$6*Mapping!$N$19+AU17/AU$6*Mapping!$N$20+AV17/AV$6*Mapping!$N$21+AW17/AW$6*Mapping!$N$22+AX17/AX$6*Mapping!$N$23)/SUM(Mapping!$N$15:$N$23),"")</f>
        <v/>
      </c>
      <c r="BP17" s="64">
        <f>IFERROR((AP17/AP$6*Mapping!$O$15+AQ17/AQ$6*Mapping!$O$16+AR17/AR$6*Mapping!$O$17+AS17/AS$6*Mapping!$O$18+AT17/AT$6*Mapping!$O$19+AU17/AU$6*Mapping!$O$20+AV17/AV$6*Mapping!$O$21+AW17/AW$6*Mapping!$O$22+AX17/AX$6*Mapping!$O$23)/SUM(Mapping!$O$15:$O$23),"")</f>
        <v/>
      </c>
      <c r="BQ17" s="64">
        <f>IFERROR((AP17/AP$6*Mapping!$P$15+AQ17/AQ$6*Mapping!$P$16+AR17/AR$6*Mapping!$P$17+AS17/AS$6*Mapping!$P$18+AT17/AT$6*Mapping!$P$19+AU17/AU$6*Mapping!$P$20+AV17/AV$6*Mapping!$P$21+AW17/AW$6*Mapping!$P$22+AX17/AX$6*Mapping!$P$23)/SUM(Mapping!$P$15:$P$23),"")</f>
        <v/>
      </c>
      <c r="BR17" s="65">
        <f>IF(BA17="","",BA17+N(AS17)/10000)</f>
        <v/>
      </c>
    </row>
    <row r="18" ht="30" customHeight="1">
      <c r="A18" s="28" t="n">
        <v>12</v>
      </c>
      <c r="B18" s="29" t="inlineStr">
        <is>
          <t>5th Sem - A</t>
        </is>
      </c>
      <c r="C18" s="29" t="n"/>
      <c r="D18" s="6" t="n"/>
      <c r="E18" s="6" t="n"/>
      <c r="F18" s="29" t="n"/>
      <c r="G18" s="29" t="n"/>
      <c r="H18" s="6" t="n"/>
      <c r="I18" s="29" t="n"/>
      <c r="J18" s="29" t="n"/>
      <c r="K18" s="29" t="n"/>
      <c r="L18" s="29" t="n"/>
      <c r="M18" s="29" t="n"/>
      <c r="N18" s="29" t="n"/>
      <c r="O18" s="29" t="n"/>
      <c r="P18" s="29" t="n"/>
      <c r="Q18" s="29" t="n"/>
      <c r="R18" s="29" t="n"/>
      <c r="S18" s="29" t="n"/>
      <c r="T18" s="29" t="n"/>
      <c r="U18" s="29" t="n"/>
      <c r="V18" s="29" t="n"/>
      <c r="W18" s="29" t="n"/>
      <c r="X18" s="29" t="n"/>
      <c r="Y18" s="29" t="n"/>
      <c r="Z18" s="29" t="n"/>
      <c r="AA18" s="29" t="n"/>
      <c r="AB18" s="29" t="n"/>
      <c r="AC18" s="29" t="n"/>
      <c r="AD18" s="29" t="n"/>
      <c r="AE18" s="29" t="n"/>
      <c r="AF18" s="29" t="n"/>
      <c r="AG18" s="29" t="n"/>
      <c r="AH18" s="29" t="n"/>
      <c r="AI18" s="29" t="n"/>
      <c r="AJ18" s="29" t="n"/>
      <c r="AK18" s="29" t="n"/>
      <c r="AL18" s="29" t="n"/>
      <c r="AM18" s="29" t="n"/>
      <c r="AN18" s="29" t="n"/>
      <c r="AO18" s="29" t="n"/>
      <c r="AP18" s="59">
        <f>IF(COUNT(I18,T18,AE18)=0,"",AVERAGE(I18,T18,AE18))</f>
        <v/>
      </c>
      <c r="AQ18" s="59">
        <f>IF(COUNT(J18,U18,AF18)=0,"",AVERAGE(J18,U18,AF18))</f>
        <v/>
      </c>
      <c r="AR18" s="59">
        <f>IF(COUNT(K18,V18,AG18)=0,"",AVERAGE(K18,V18,AG18))</f>
        <v/>
      </c>
      <c r="AS18" s="59">
        <f>IF(COUNT(L18,W18,AH18)=0,"",AVERAGE(L18,W18,AH18))</f>
        <v/>
      </c>
      <c r="AT18" s="59">
        <f>IF(COUNT(M18,X18,AI18)=0,"",AVERAGE(M18,X18,AI18))</f>
        <v/>
      </c>
      <c r="AU18" s="59">
        <f>IF(COUNT(N18,Y18,AJ18)=0,"",AVERAGE(N18,Y18,AJ18))</f>
        <v/>
      </c>
      <c r="AV18" s="59">
        <f>IF(COUNT(O18,Z18,AK18)=0,"",AVERAGE(O18,Z18,AK18))</f>
        <v/>
      </c>
      <c r="AW18" s="59">
        <f>IF(COUNT(P18,AA18,AL18)=0,"",AVERAGE(P18,AA18,AL18))</f>
        <v/>
      </c>
      <c r="AX18" s="59">
        <f>IF(COUNT(Q18,AB18,AM18)=0,"",AVERAGE(Q18,AB18,AM18))</f>
        <v/>
      </c>
      <c r="AY18" s="60">
        <f>IF(OR($F18="",COUNT(R18,AC18,AN18)=0),"",AVERAGE(R18,AC18,AN18))</f>
        <v/>
      </c>
      <c r="AZ18" s="60">
        <f>IF(OR($G18="",$G18=$F18,COUNT(S18,AD18,AO18)=0),"",AVERAGE(S18,AD18,AO18))</f>
        <v/>
      </c>
      <c r="BA18" s="61">
        <f>IF(COUNT(AP18:AX18)=0,"",SUM(AP18:AX18))</f>
        <v/>
      </c>
      <c r="BB18" s="62">
        <f>IF(BA18="","",BA18/BA$6)</f>
        <v/>
      </c>
      <c r="BC18" s="14">
        <f>IF(BR18="","",COUNTIF($BR$7:$BR$26,"&gt;"&amp;BR18)+COUNTIF($BR$7:BR18,BR18))</f>
        <v/>
      </c>
      <c r="BD18" s="63">
        <f>IF(BC18="","",IF(BC18&lt;=Mapping!$C$11,"Shortlisted","Not shortlisted"))</f>
        <v/>
      </c>
      <c r="BE18" s="64">
        <f>IFERROR((AP18/AP$6*Mapping!$D$15+AQ18/AQ$6*Mapping!$D$16+AR18/AR$6*Mapping!$D$17+AS18/AS$6*Mapping!$D$18+AT18/AT$6*Mapping!$D$19+AU18/AU$6*Mapping!$D$20+AV18/AV$6*Mapping!$D$21+AW18/AW$6*Mapping!$D$22+AX18/AX$6*Mapping!$D$23)/SUM(Mapping!$D$15:$D$23),"")</f>
        <v/>
      </c>
      <c r="BF18" s="64">
        <f>IFERROR((AP18/AP$6*Mapping!$E$15+AQ18/AQ$6*Mapping!$E$16+AR18/AR$6*Mapping!$E$17+AS18/AS$6*Mapping!$E$18+AT18/AT$6*Mapping!$E$19+AU18/AU$6*Mapping!$E$20+AV18/AV$6*Mapping!$E$21+AW18/AW$6*Mapping!$E$22+AX18/AX$6*Mapping!$E$23)/SUM(Mapping!$E$15:$E$23),"")</f>
        <v/>
      </c>
      <c r="BG18" s="64">
        <f>IFERROR((AP18/AP$6*Mapping!$F$15+AQ18/AQ$6*Mapping!$F$16+AR18/AR$6*Mapping!$F$17+AS18/AS$6*Mapping!$F$18+AT18/AT$6*Mapping!$F$19+AU18/AU$6*Mapping!$F$20+AV18/AV$6*Mapping!$F$21+AW18/AW$6*Mapping!$F$22+AX18/AX$6*Mapping!$F$23)/SUM(Mapping!$F$15:$F$23),"")</f>
        <v/>
      </c>
      <c r="BH18" s="64">
        <f>IFERROR((AP18/AP$6*Mapping!$G$15+AQ18/AQ$6*Mapping!$G$16+AR18/AR$6*Mapping!$G$17+AS18/AS$6*Mapping!$G$18+AT18/AT$6*Mapping!$G$19+AU18/AU$6*Mapping!$G$20+AV18/AV$6*Mapping!$G$21+AW18/AW$6*Mapping!$G$22+AX18/AX$6*Mapping!$G$23)/SUM(Mapping!$G$15:$G$23),"")</f>
        <v/>
      </c>
      <c r="BI18" s="64">
        <f>IFERROR((AP18/AP$6*Mapping!$H$15+AQ18/AQ$6*Mapping!$H$16+AR18/AR$6*Mapping!$H$17+AS18/AS$6*Mapping!$H$18+AT18/AT$6*Mapping!$H$19+AU18/AU$6*Mapping!$H$20+AV18/AV$6*Mapping!$H$21+AW18/AW$6*Mapping!$H$22+AX18/AX$6*Mapping!$H$23)/SUM(Mapping!$H$15:$H$23),"")</f>
        <v/>
      </c>
      <c r="BJ18" s="64">
        <f>IFERROR((AP18/AP$6*Mapping!$I$15+AQ18/AQ$6*Mapping!$I$16+AR18/AR$6*Mapping!$I$17+AS18/AS$6*Mapping!$I$18+AT18/AT$6*Mapping!$I$19+AU18/AU$6*Mapping!$I$20+AV18/AV$6*Mapping!$I$21+AW18/AW$6*Mapping!$I$22+AX18/AX$6*Mapping!$I$23)/SUM(Mapping!$I$15:$I$23),"")</f>
        <v/>
      </c>
      <c r="BK18" s="64">
        <f>IFERROR((AP18/AP$6*Mapping!$J$15+AQ18/AQ$6*Mapping!$J$16+AR18/AR$6*Mapping!$J$17+AS18/AS$6*Mapping!$J$18+AT18/AT$6*Mapping!$J$19+AU18/AU$6*Mapping!$J$20+AV18/AV$6*Mapping!$J$21+AW18/AW$6*Mapping!$J$22+AX18/AX$6*Mapping!$J$23)/SUM(Mapping!$J$15:$J$23),"")</f>
        <v/>
      </c>
      <c r="BL18" s="64">
        <f>IFERROR((AP18/AP$6*Mapping!$K$15+AQ18/AQ$6*Mapping!$K$16+AR18/AR$6*Mapping!$K$17+AS18/AS$6*Mapping!$K$18+AT18/AT$6*Mapping!$K$19+AU18/AU$6*Mapping!$K$20+AV18/AV$6*Mapping!$K$21+AW18/AW$6*Mapping!$K$22+AX18/AX$6*Mapping!$K$23)/SUM(Mapping!$K$15:$K$23),"")</f>
        <v/>
      </c>
      <c r="BM18" s="64">
        <f>IFERROR((AP18/AP$6*Mapping!$L$15+AQ18/AQ$6*Mapping!$L$16+AR18/AR$6*Mapping!$L$17+AS18/AS$6*Mapping!$L$18+AT18/AT$6*Mapping!$L$19+AU18/AU$6*Mapping!$L$20+AV18/AV$6*Mapping!$L$21+AW18/AW$6*Mapping!$L$22+AX18/AX$6*Mapping!$L$23)/SUM(Mapping!$L$15:$L$23),"")</f>
        <v/>
      </c>
      <c r="BN18" s="64">
        <f>IFERROR((AP18/AP$6*Mapping!$M$15+AQ18/AQ$6*Mapping!$M$16+AR18/AR$6*Mapping!$M$17+AS18/AS$6*Mapping!$M$18+AT18/AT$6*Mapping!$M$19+AU18/AU$6*Mapping!$M$20+AV18/AV$6*Mapping!$M$21+AW18/AW$6*Mapping!$M$22+AX18/AX$6*Mapping!$M$23)/SUM(Mapping!$M$15:$M$23),"")</f>
        <v/>
      </c>
      <c r="BO18" s="64">
        <f>IFERROR((AP18/AP$6*Mapping!$N$15+AQ18/AQ$6*Mapping!$N$16+AR18/AR$6*Mapping!$N$17+AS18/AS$6*Mapping!$N$18+AT18/AT$6*Mapping!$N$19+AU18/AU$6*Mapping!$N$20+AV18/AV$6*Mapping!$N$21+AW18/AW$6*Mapping!$N$22+AX18/AX$6*Mapping!$N$23)/SUM(Mapping!$N$15:$N$23),"")</f>
        <v/>
      </c>
      <c r="BP18" s="64">
        <f>IFERROR((AP18/AP$6*Mapping!$O$15+AQ18/AQ$6*Mapping!$O$16+AR18/AR$6*Mapping!$O$17+AS18/AS$6*Mapping!$O$18+AT18/AT$6*Mapping!$O$19+AU18/AU$6*Mapping!$O$20+AV18/AV$6*Mapping!$O$21+AW18/AW$6*Mapping!$O$22+AX18/AX$6*Mapping!$O$23)/SUM(Mapping!$O$15:$O$23),"")</f>
        <v/>
      </c>
      <c r="BQ18" s="64">
        <f>IFERROR((AP18/AP$6*Mapping!$P$15+AQ18/AQ$6*Mapping!$P$16+AR18/AR$6*Mapping!$P$17+AS18/AS$6*Mapping!$P$18+AT18/AT$6*Mapping!$P$19+AU18/AU$6*Mapping!$P$20+AV18/AV$6*Mapping!$P$21+AW18/AW$6*Mapping!$P$22+AX18/AX$6*Mapping!$P$23)/SUM(Mapping!$P$15:$P$23),"")</f>
        <v/>
      </c>
      <c r="BR18" s="65">
        <f>IF(BA18="","",BA18+N(AS18)/10000)</f>
        <v/>
      </c>
    </row>
    <row r="19" ht="30" customHeight="1">
      <c r="A19" s="28" t="n">
        <v>13</v>
      </c>
      <c r="B19" s="29" t="inlineStr">
        <is>
          <t>5th Sem - A</t>
        </is>
      </c>
      <c r="C19" s="29" t="n"/>
      <c r="D19" s="6" t="n"/>
      <c r="E19" s="6" t="n"/>
      <c r="F19" s="29" t="n"/>
      <c r="G19" s="29" t="n"/>
      <c r="H19" s="6" t="n"/>
      <c r="I19" s="29" t="n"/>
      <c r="J19" s="29" t="n"/>
      <c r="K19" s="29" t="n"/>
      <c r="L19" s="29" t="n"/>
      <c r="M19" s="29" t="n"/>
      <c r="N19" s="29" t="n"/>
      <c r="O19" s="29" t="n"/>
      <c r="P19" s="29" t="n"/>
      <c r="Q19" s="29" t="n"/>
      <c r="R19" s="29" t="n"/>
      <c r="S19" s="29" t="n"/>
      <c r="T19" s="29" t="n"/>
      <c r="U19" s="29" t="n"/>
      <c r="V19" s="29" t="n"/>
      <c r="W19" s="29" t="n"/>
      <c r="X19" s="29" t="n"/>
      <c r="Y19" s="29" t="n"/>
      <c r="Z19" s="29" t="n"/>
      <c r="AA19" s="29" t="n"/>
      <c r="AB19" s="29" t="n"/>
      <c r="AC19" s="29" t="n"/>
      <c r="AD19" s="29" t="n"/>
      <c r="AE19" s="29" t="n"/>
      <c r="AF19" s="29" t="n"/>
      <c r="AG19" s="29" t="n"/>
      <c r="AH19" s="29" t="n"/>
      <c r="AI19" s="29" t="n"/>
      <c r="AJ19" s="29" t="n"/>
      <c r="AK19" s="29" t="n"/>
      <c r="AL19" s="29" t="n"/>
      <c r="AM19" s="29" t="n"/>
      <c r="AN19" s="29" t="n"/>
      <c r="AO19" s="29" t="n"/>
      <c r="AP19" s="59">
        <f>IF(COUNT(I19,T19,AE19)=0,"",AVERAGE(I19,T19,AE19))</f>
        <v/>
      </c>
      <c r="AQ19" s="59">
        <f>IF(COUNT(J19,U19,AF19)=0,"",AVERAGE(J19,U19,AF19))</f>
        <v/>
      </c>
      <c r="AR19" s="59">
        <f>IF(COUNT(K19,V19,AG19)=0,"",AVERAGE(K19,V19,AG19))</f>
        <v/>
      </c>
      <c r="AS19" s="59">
        <f>IF(COUNT(L19,W19,AH19)=0,"",AVERAGE(L19,W19,AH19))</f>
        <v/>
      </c>
      <c r="AT19" s="59">
        <f>IF(COUNT(M19,X19,AI19)=0,"",AVERAGE(M19,X19,AI19))</f>
        <v/>
      </c>
      <c r="AU19" s="59">
        <f>IF(COUNT(N19,Y19,AJ19)=0,"",AVERAGE(N19,Y19,AJ19))</f>
        <v/>
      </c>
      <c r="AV19" s="59">
        <f>IF(COUNT(O19,Z19,AK19)=0,"",AVERAGE(O19,Z19,AK19))</f>
        <v/>
      </c>
      <c r="AW19" s="59">
        <f>IF(COUNT(P19,AA19,AL19)=0,"",AVERAGE(P19,AA19,AL19))</f>
        <v/>
      </c>
      <c r="AX19" s="59">
        <f>IF(COUNT(Q19,AB19,AM19)=0,"",AVERAGE(Q19,AB19,AM19))</f>
        <v/>
      </c>
      <c r="AY19" s="60">
        <f>IF(OR($F19="",COUNT(R19,AC19,AN19)=0),"",AVERAGE(R19,AC19,AN19))</f>
        <v/>
      </c>
      <c r="AZ19" s="60">
        <f>IF(OR($G19="",$G19=$F19,COUNT(S19,AD19,AO19)=0),"",AVERAGE(S19,AD19,AO19))</f>
        <v/>
      </c>
      <c r="BA19" s="61">
        <f>IF(COUNT(AP19:AX19)=0,"",SUM(AP19:AX19))</f>
        <v/>
      </c>
      <c r="BB19" s="62">
        <f>IF(BA19="","",BA19/BA$6)</f>
        <v/>
      </c>
      <c r="BC19" s="14">
        <f>IF(BR19="","",COUNTIF($BR$7:$BR$26,"&gt;"&amp;BR19)+COUNTIF($BR$7:BR19,BR19))</f>
        <v/>
      </c>
      <c r="BD19" s="63">
        <f>IF(BC19="","",IF(BC19&lt;=Mapping!$C$11,"Shortlisted","Not shortlisted"))</f>
        <v/>
      </c>
      <c r="BE19" s="64">
        <f>IFERROR((AP19/AP$6*Mapping!$D$15+AQ19/AQ$6*Mapping!$D$16+AR19/AR$6*Mapping!$D$17+AS19/AS$6*Mapping!$D$18+AT19/AT$6*Mapping!$D$19+AU19/AU$6*Mapping!$D$20+AV19/AV$6*Mapping!$D$21+AW19/AW$6*Mapping!$D$22+AX19/AX$6*Mapping!$D$23)/SUM(Mapping!$D$15:$D$23),"")</f>
        <v/>
      </c>
      <c r="BF19" s="64">
        <f>IFERROR((AP19/AP$6*Mapping!$E$15+AQ19/AQ$6*Mapping!$E$16+AR19/AR$6*Mapping!$E$17+AS19/AS$6*Mapping!$E$18+AT19/AT$6*Mapping!$E$19+AU19/AU$6*Mapping!$E$20+AV19/AV$6*Mapping!$E$21+AW19/AW$6*Mapping!$E$22+AX19/AX$6*Mapping!$E$23)/SUM(Mapping!$E$15:$E$23),"")</f>
        <v/>
      </c>
      <c r="BG19" s="64">
        <f>IFERROR((AP19/AP$6*Mapping!$F$15+AQ19/AQ$6*Mapping!$F$16+AR19/AR$6*Mapping!$F$17+AS19/AS$6*Mapping!$F$18+AT19/AT$6*Mapping!$F$19+AU19/AU$6*Mapping!$F$20+AV19/AV$6*Mapping!$F$21+AW19/AW$6*Mapping!$F$22+AX19/AX$6*Mapping!$F$23)/SUM(Mapping!$F$15:$F$23),"")</f>
        <v/>
      </c>
      <c r="BH19" s="64">
        <f>IFERROR((AP19/AP$6*Mapping!$G$15+AQ19/AQ$6*Mapping!$G$16+AR19/AR$6*Mapping!$G$17+AS19/AS$6*Mapping!$G$18+AT19/AT$6*Mapping!$G$19+AU19/AU$6*Mapping!$G$20+AV19/AV$6*Mapping!$G$21+AW19/AW$6*Mapping!$G$22+AX19/AX$6*Mapping!$G$23)/SUM(Mapping!$G$15:$G$23),"")</f>
        <v/>
      </c>
      <c r="BI19" s="64">
        <f>IFERROR((AP19/AP$6*Mapping!$H$15+AQ19/AQ$6*Mapping!$H$16+AR19/AR$6*Mapping!$H$17+AS19/AS$6*Mapping!$H$18+AT19/AT$6*Mapping!$H$19+AU19/AU$6*Mapping!$H$20+AV19/AV$6*Mapping!$H$21+AW19/AW$6*Mapping!$H$22+AX19/AX$6*Mapping!$H$23)/SUM(Mapping!$H$15:$H$23),"")</f>
        <v/>
      </c>
      <c r="BJ19" s="64">
        <f>IFERROR((AP19/AP$6*Mapping!$I$15+AQ19/AQ$6*Mapping!$I$16+AR19/AR$6*Mapping!$I$17+AS19/AS$6*Mapping!$I$18+AT19/AT$6*Mapping!$I$19+AU19/AU$6*Mapping!$I$20+AV19/AV$6*Mapping!$I$21+AW19/AW$6*Mapping!$I$22+AX19/AX$6*Mapping!$I$23)/SUM(Mapping!$I$15:$I$23),"")</f>
        <v/>
      </c>
      <c r="BK19" s="64">
        <f>IFERROR((AP19/AP$6*Mapping!$J$15+AQ19/AQ$6*Mapping!$J$16+AR19/AR$6*Mapping!$J$17+AS19/AS$6*Mapping!$J$18+AT19/AT$6*Mapping!$J$19+AU19/AU$6*Mapping!$J$20+AV19/AV$6*Mapping!$J$21+AW19/AW$6*Mapping!$J$22+AX19/AX$6*Mapping!$J$23)/SUM(Mapping!$J$15:$J$23),"")</f>
        <v/>
      </c>
      <c r="BL19" s="64">
        <f>IFERROR((AP19/AP$6*Mapping!$K$15+AQ19/AQ$6*Mapping!$K$16+AR19/AR$6*Mapping!$K$17+AS19/AS$6*Mapping!$K$18+AT19/AT$6*Mapping!$K$19+AU19/AU$6*Mapping!$K$20+AV19/AV$6*Mapping!$K$21+AW19/AW$6*Mapping!$K$22+AX19/AX$6*Mapping!$K$23)/SUM(Mapping!$K$15:$K$23),"")</f>
        <v/>
      </c>
      <c r="BM19" s="64">
        <f>IFERROR((AP19/AP$6*Mapping!$L$15+AQ19/AQ$6*Mapping!$L$16+AR19/AR$6*Mapping!$L$17+AS19/AS$6*Mapping!$L$18+AT19/AT$6*Mapping!$L$19+AU19/AU$6*Mapping!$L$20+AV19/AV$6*Mapping!$L$21+AW19/AW$6*Mapping!$L$22+AX19/AX$6*Mapping!$L$23)/SUM(Mapping!$L$15:$L$23),"")</f>
        <v/>
      </c>
      <c r="BN19" s="64">
        <f>IFERROR((AP19/AP$6*Mapping!$M$15+AQ19/AQ$6*Mapping!$M$16+AR19/AR$6*Mapping!$M$17+AS19/AS$6*Mapping!$M$18+AT19/AT$6*Mapping!$M$19+AU19/AU$6*Mapping!$M$20+AV19/AV$6*Mapping!$M$21+AW19/AW$6*Mapping!$M$22+AX19/AX$6*Mapping!$M$23)/SUM(Mapping!$M$15:$M$23),"")</f>
        <v/>
      </c>
      <c r="BO19" s="64">
        <f>IFERROR((AP19/AP$6*Mapping!$N$15+AQ19/AQ$6*Mapping!$N$16+AR19/AR$6*Mapping!$N$17+AS19/AS$6*Mapping!$N$18+AT19/AT$6*Mapping!$N$19+AU19/AU$6*Mapping!$N$20+AV19/AV$6*Mapping!$N$21+AW19/AW$6*Mapping!$N$22+AX19/AX$6*Mapping!$N$23)/SUM(Mapping!$N$15:$N$23),"")</f>
        <v/>
      </c>
      <c r="BP19" s="64">
        <f>IFERROR((AP19/AP$6*Mapping!$O$15+AQ19/AQ$6*Mapping!$O$16+AR19/AR$6*Mapping!$O$17+AS19/AS$6*Mapping!$O$18+AT19/AT$6*Mapping!$O$19+AU19/AU$6*Mapping!$O$20+AV19/AV$6*Mapping!$O$21+AW19/AW$6*Mapping!$O$22+AX19/AX$6*Mapping!$O$23)/SUM(Mapping!$O$15:$O$23),"")</f>
        <v/>
      </c>
      <c r="BQ19" s="64">
        <f>IFERROR((AP19/AP$6*Mapping!$P$15+AQ19/AQ$6*Mapping!$P$16+AR19/AR$6*Mapping!$P$17+AS19/AS$6*Mapping!$P$18+AT19/AT$6*Mapping!$P$19+AU19/AU$6*Mapping!$P$20+AV19/AV$6*Mapping!$P$21+AW19/AW$6*Mapping!$P$22+AX19/AX$6*Mapping!$P$23)/SUM(Mapping!$P$15:$P$23),"")</f>
        <v/>
      </c>
      <c r="BR19" s="65">
        <f>IF(BA19="","",BA19+N(AS19)/10000)</f>
        <v/>
      </c>
    </row>
    <row r="20" ht="30" customHeight="1">
      <c r="A20" s="28" t="n">
        <v>14</v>
      </c>
      <c r="B20" s="29" t="inlineStr">
        <is>
          <t>5th Sem - A</t>
        </is>
      </c>
      <c r="C20" s="29" t="n"/>
      <c r="D20" s="6" t="n"/>
      <c r="E20" s="6" t="n"/>
      <c r="F20" s="29" t="n"/>
      <c r="G20" s="29" t="n"/>
      <c r="H20" s="6" t="n"/>
      <c r="I20" s="29" t="n"/>
      <c r="J20" s="29" t="n"/>
      <c r="K20" s="29" t="n"/>
      <c r="L20" s="29" t="n"/>
      <c r="M20" s="29" t="n"/>
      <c r="N20" s="29" t="n"/>
      <c r="O20" s="29" t="n"/>
      <c r="P20" s="29" t="n"/>
      <c r="Q20" s="29" t="n"/>
      <c r="R20" s="29" t="n"/>
      <c r="S20" s="29" t="n"/>
      <c r="T20" s="29" t="n"/>
      <c r="U20" s="29" t="n"/>
      <c r="V20" s="29" t="n"/>
      <c r="W20" s="29" t="n"/>
      <c r="X20" s="29" t="n"/>
      <c r="Y20" s="29" t="n"/>
      <c r="Z20" s="29" t="n"/>
      <c r="AA20" s="29" t="n"/>
      <c r="AB20" s="29" t="n"/>
      <c r="AC20" s="29" t="n"/>
      <c r="AD20" s="29" t="n"/>
      <c r="AE20" s="29" t="n"/>
      <c r="AF20" s="29" t="n"/>
      <c r="AG20" s="29" t="n"/>
      <c r="AH20" s="29" t="n"/>
      <c r="AI20" s="29" t="n"/>
      <c r="AJ20" s="29" t="n"/>
      <c r="AK20" s="29" t="n"/>
      <c r="AL20" s="29" t="n"/>
      <c r="AM20" s="29" t="n"/>
      <c r="AN20" s="29" t="n"/>
      <c r="AO20" s="29" t="n"/>
      <c r="AP20" s="59">
        <f>IF(COUNT(I20,T20,AE20)=0,"",AVERAGE(I20,T20,AE20))</f>
        <v/>
      </c>
      <c r="AQ20" s="59">
        <f>IF(COUNT(J20,U20,AF20)=0,"",AVERAGE(J20,U20,AF20))</f>
        <v/>
      </c>
      <c r="AR20" s="59">
        <f>IF(COUNT(K20,V20,AG20)=0,"",AVERAGE(K20,V20,AG20))</f>
        <v/>
      </c>
      <c r="AS20" s="59">
        <f>IF(COUNT(L20,W20,AH20)=0,"",AVERAGE(L20,W20,AH20))</f>
        <v/>
      </c>
      <c r="AT20" s="59">
        <f>IF(COUNT(M20,X20,AI20)=0,"",AVERAGE(M20,X20,AI20))</f>
        <v/>
      </c>
      <c r="AU20" s="59">
        <f>IF(COUNT(N20,Y20,AJ20)=0,"",AVERAGE(N20,Y20,AJ20))</f>
        <v/>
      </c>
      <c r="AV20" s="59">
        <f>IF(COUNT(O20,Z20,AK20)=0,"",AVERAGE(O20,Z20,AK20))</f>
        <v/>
      </c>
      <c r="AW20" s="59">
        <f>IF(COUNT(P20,AA20,AL20)=0,"",AVERAGE(P20,AA20,AL20))</f>
        <v/>
      </c>
      <c r="AX20" s="59">
        <f>IF(COUNT(Q20,AB20,AM20)=0,"",AVERAGE(Q20,AB20,AM20))</f>
        <v/>
      </c>
      <c r="AY20" s="60">
        <f>IF(OR($F20="",COUNT(R20,AC20,AN20)=0),"",AVERAGE(R20,AC20,AN20))</f>
        <v/>
      </c>
      <c r="AZ20" s="60">
        <f>IF(OR($G20="",$G20=$F20,COUNT(S20,AD20,AO20)=0),"",AVERAGE(S20,AD20,AO20))</f>
        <v/>
      </c>
      <c r="BA20" s="61">
        <f>IF(COUNT(AP20:AX20)=0,"",SUM(AP20:AX20))</f>
        <v/>
      </c>
      <c r="BB20" s="62">
        <f>IF(BA20="","",BA20/BA$6)</f>
        <v/>
      </c>
      <c r="BC20" s="14">
        <f>IF(BR20="","",COUNTIF($BR$7:$BR$26,"&gt;"&amp;BR20)+COUNTIF($BR$7:BR20,BR20))</f>
        <v/>
      </c>
      <c r="BD20" s="63">
        <f>IF(BC20="","",IF(BC20&lt;=Mapping!$C$11,"Shortlisted","Not shortlisted"))</f>
        <v/>
      </c>
      <c r="BE20" s="64">
        <f>IFERROR((AP20/AP$6*Mapping!$D$15+AQ20/AQ$6*Mapping!$D$16+AR20/AR$6*Mapping!$D$17+AS20/AS$6*Mapping!$D$18+AT20/AT$6*Mapping!$D$19+AU20/AU$6*Mapping!$D$20+AV20/AV$6*Mapping!$D$21+AW20/AW$6*Mapping!$D$22+AX20/AX$6*Mapping!$D$23)/SUM(Mapping!$D$15:$D$23),"")</f>
        <v/>
      </c>
      <c r="BF20" s="64">
        <f>IFERROR((AP20/AP$6*Mapping!$E$15+AQ20/AQ$6*Mapping!$E$16+AR20/AR$6*Mapping!$E$17+AS20/AS$6*Mapping!$E$18+AT20/AT$6*Mapping!$E$19+AU20/AU$6*Mapping!$E$20+AV20/AV$6*Mapping!$E$21+AW20/AW$6*Mapping!$E$22+AX20/AX$6*Mapping!$E$23)/SUM(Mapping!$E$15:$E$23),"")</f>
        <v/>
      </c>
      <c r="BG20" s="64">
        <f>IFERROR((AP20/AP$6*Mapping!$F$15+AQ20/AQ$6*Mapping!$F$16+AR20/AR$6*Mapping!$F$17+AS20/AS$6*Mapping!$F$18+AT20/AT$6*Mapping!$F$19+AU20/AU$6*Mapping!$F$20+AV20/AV$6*Mapping!$F$21+AW20/AW$6*Mapping!$F$22+AX20/AX$6*Mapping!$F$23)/SUM(Mapping!$F$15:$F$23),"")</f>
        <v/>
      </c>
      <c r="BH20" s="64">
        <f>IFERROR((AP20/AP$6*Mapping!$G$15+AQ20/AQ$6*Mapping!$G$16+AR20/AR$6*Mapping!$G$17+AS20/AS$6*Mapping!$G$18+AT20/AT$6*Mapping!$G$19+AU20/AU$6*Mapping!$G$20+AV20/AV$6*Mapping!$G$21+AW20/AW$6*Mapping!$G$22+AX20/AX$6*Mapping!$G$23)/SUM(Mapping!$G$15:$G$23),"")</f>
        <v/>
      </c>
      <c r="BI20" s="64">
        <f>IFERROR((AP20/AP$6*Mapping!$H$15+AQ20/AQ$6*Mapping!$H$16+AR20/AR$6*Mapping!$H$17+AS20/AS$6*Mapping!$H$18+AT20/AT$6*Mapping!$H$19+AU20/AU$6*Mapping!$H$20+AV20/AV$6*Mapping!$H$21+AW20/AW$6*Mapping!$H$22+AX20/AX$6*Mapping!$H$23)/SUM(Mapping!$H$15:$H$23),"")</f>
        <v/>
      </c>
      <c r="BJ20" s="64">
        <f>IFERROR((AP20/AP$6*Mapping!$I$15+AQ20/AQ$6*Mapping!$I$16+AR20/AR$6*Mapping!$I$17+AS20/AS$6*Mapping!$I$18+AT20/AT$6*Mapping!$I$19+AU20/AU$6*Mapping!$I$20+AV20/AV$6*Mapping!$I$21+AW20/AW$6*Mapping!$I$22+AX20/AX$6*Mapping!$I$23)/SUM(Mapping!$I$15:$I$23),"")</f>
        <v/>
      </c>
      <c r="BK20" s="64">
        <f>IFERROR((AP20/AP$6*Mapping!$J$15+AQ20/AQ$6*Mapping!$J$16+AR20/AR$6*Mapping!$J$17+AS20/AS$6*Mapping!$J$18+AT20/AT$6*Mapping!$J$19+AU20/AU$6*Mapping!$J$20+AV20/AV$6*Mapping!$J$21+AW20/AW$6*Mapping!$J$22+AX20/AX$6*Mapping!$J$23)/SUM(Mapping!$J$15:$J$23),"")</f>
        <v/>
      </c>
      <c r="BL20" s="64">
        <f>IFERROR((AP20/AP$6*Mapping!$K$15+AQ20/AQ$6*Mapping!$K$16+AR20/AR$6*Mapping!$K$17+AS20/AS$6*Mapping!$K$18+AT20/AT$6*Mapping!$K$19+AU20/AU$6*Mapping!$K$20+AV20/AV$6*Mapping!$K$21+AW20/AW$6*Mapping!$K$22+AX20/AX$6*Mapping!$K$23)/SUM(Mapping!$K$15:$K$23),"")</f>
        <v/>
      </c>
      <c r="BM20" s="64">
        <f>IFERROR((AP20/AP$6*Mapping!$L$15+AQ20/AQ$6*Mapping!$L$16+AR20/AR$6*Mapping!$L$17+AS20/AS$6*Mapping!$L$18+AT20/AT$6*Mapping!$L$19+AU20/AU$6*Mapping!$L$20+AV20/AV$6*Mapping!$L$21+AW20/AW$6*Mapping!$L$22+AX20/AX$6*Mapping!$L$23)/SUM(Mapping!$L$15:$L$23),"")</f>
        <v/>
      </c>
      <c r="BN20" s="64">
        <f>IFERROR((AP20/AP$6*Mapping!$M$15+AQ20/AQ$6*Mapping!$M$16+AR20/AR$6*Mapping!$M$17+AS20/AS$6*Mapping!$M$18+AT20/AT$6*Mapping!$M$19+AU20/AU$6*Mapping!$M$20+AV20/AV$6*Mapping!$M$21+AW20/AW$6*Mapping!$M$22+AX20/AX$6*Mapping!$M$23)/SUM(Mapping!$M$15:$M$23),"")</f>
        <v/>
      </c>
      <c r="BO20" s="64">
        <f>IFERROR((AP20/AP$6*Mapping!$N$15+AQ20/AQ$6*Mapping!$N$16+AR20/AR$6*Mapping!$N$17+AS20/AS$6*Mapping!$N$18+AT20/AT$6*Mapping!$N$19+AU20/AU$6*Mapping!$N$20+AV20/AV$6*Mapping!$N$21+AW20/AW$6*Mapping!$N$22+AX20/AX$6*Mapping!$N$23)/SUM(Mapping!$N$15:$N$23),"")</f>
        <v/>
      </c>
      <c r="BP20" s="64">
        <f>IFERROR((AP20/AP$6*Mapping!$O$15+AQ20/AQ$6*Mapping!$O$16+AR20/AR$6*Mapping!$O$17+AS20/AS$6*Mapping!$O$18+AT20/AT$6*Mapping!$O$19+AU20/AU$6*Mapping!$O$20+AV20/AV$6*Mapping!$O$21+AW20/AW$6*Mapping!$O$22+AX20/AX$6*Mapping!$O$23)/SUM(Mapping!$O$15:$O$23),"")</f>
        <v/>
      </c>
      <c r="BQ20" s="64">
        <f>IFERROR((AP20/AP$6*Mapping!$P$15+AQ20/AQ$6*Mapping!$P$16+AR20/AR$6*Mapping!$P$17+AS20/AS$6*Mapping!$P$18+AT20/AT$6*Mapping!$P$19+AU20/AU$6*Mapping!$P$20+AV20/AV$6*Mapping!$P$21+AW20/AW$6*Mapping!$P$22+AX20/AX$6*Mapping!$P$23)/SUM(Mapping!$P$15:$P$23),"")</f>
        <v/>
      </c>
      <c r="BR20" s="65">
        <f>IF(BA20="","",BA20+N(AS20)/10000)</f>
        <v/>
      </c>
    </row>
    <row r="21" ht="30" customHeight="1">
      <c r="A21" s="28" t="n">
        <v>15</v>
      </c>
      <c r="B21" s="29" t="inlineStr">
        <is>
          <t>5th Sem - A</t>
        </is>
      </c>
      <c r="C21" s="29" t="n"/>
      <c r="D21" s="6" t="n"/>
      <c r="E21" s="6" t="n"/>
      <c r="F21" s="29" t="n"/>
      <c r="G21" s="29" t="n"/>
      <c r="H21" s="6" t="n"/>
      <c r="I21" s="29" t="n"/>
      <c r="J21" s="29" t="n"/>
      <c r="K21" s="29" t="n"/>
      <c r="L21" s="29" t="n"/>
      <c r="M21" s="29" t="n"/>
      <c r="N21" s="29" t="n"/>
      <c r="O21" s="29" t="n"/>
      <c r="P21" s="29" t="n"/>
      <c r="Q21" s="29" t="n"/>
      <c r="R21" s="29" t="n"/>
      <c r="S21" s="29" t="n"/>
      <c r="T21" s="29" t="n"/>
      <c r="U21" s="29" t="n"/>
      <c r="V21" s="29" t="n"/>
      <c r="W21" s="29" t="n"/>
      <c r="X21" s="29" t="n"/>
      <c r="Y21" s="29" t="n"/>
      <c r="Z21" s="29" t="n"/>
      <c r="AA21" s="29" t="n"/>
      <c r="AB21" s="29" t="n"/>
      <c r="AC21" s="29" t="n"/>
      <c r="AD21" s="29" t="n"/>
      <c r="AE21" s="29" t="n"/>
      <c r="AF21" s="29" t="n"/>
      <c r="AG21" s="29" t="n"/>
      <c r="AH21" s="29" t="n"/>
      <c r="AI21" s="29" t="n"/>
      <c r="AJ21" s="29" t="n"/>
      <c r="AK21" s="29" t="n"/>
      <c r="AL21" s="29" t="n"/>
      <c r="AM21" s="29" t="n"/>
      <c r="AN21" s="29" t="n"/>
      <c r="AO21" s="29" t="n"/>
      <c r="AP21" s="59">
        <f>IF(COUNT(I21,T21,AE21)=0,"",AVERAGE(I21,T21,AE21))</f>
        <v/>
      </c>
      <c r="AQ21" s="59">
        <f>IF(COUNT(J21,U21,AF21)=0,"",AVERAGE(J21,U21,AF21))</f>
        <v/>
      </c>
      <c r="AR21" s="59">
        <f>IF(COUNT(K21,V21,AG21)=0,"",AVERAGE(K21,V21,AG21))</f>
        <v/>
      </c>
      <c r="AS21" s="59">
        <f>IF(COUNT(L21,W21,AH21)=0,"",AVERAGE(L21,W21,AH21))</f>
        <v/>
      </c>
      <c r="AT21" s="59">
        <f>IF(COUNT(M21,X21,AI21)=0,"",AVERAGE(M21,X21,AI21))</f>
        <v/>
      </c>
      <c r="AU21" s="59">
        <f>IF(COUNT(N21,Y21,AJ21)=0,"",AVERAGE(N21,Y21,AJ21))</f>
        <v/>
      </c>
      <c r="AV21" s="59">
        <f>IF(COUNT(O21,Z21,AK21)=0,"",AVERAGE(O21,Z21,AK21))</f>
        <v/>
      </c>
      <c r="AW21" s="59">
        <f>IF(COUNT(P21,AA21,AL21)=0,"",AVERAGE(P21,AA21,AL21))</f>
        <v/>
      </c>
      <c r="AX21" s="59">
        <f>IF(COUNT(Q21,AB21,AM21)=0,"",AVERAGE(Q21,AB21,AM21))</f>
        <v/>
      </c>
      <c r="AY21" s="60">
        <f>IF(OR($F21="",COUNT(R21,AC21,AN21)=0),"",AVERAGE(R21,AC21,AN21))</f>
        <v/>
      </c>
      <c r="AZ21" s="60">
        <f>IF(OR($G21="",$G21=$F21,COUNT(S21,AD21,AO21)=0),"",AVERAGE(S21,AD21,AO21))</f>
        <v/>
      </c>
      <c r="BA21" s="61">
        <f>IF(COUNT(AP21:AX21)=0,"",SUM(AP21:AX21))</f>
        <v/>
      </c>
      <c r="BB21" s="62">
        <f>IF(BA21="","",BA21/BA$6)</f>
        <v/>
      </c>
      <c r="BC21" s="14">
        <f>IF(BR21="","",COUNTIF($BR$7:$BR$26,"&gt;"&amp;BR21)+COUNTIF($BR$7:BR21,BR21))</f>
        <v/>
      </c>
      <c r="BD21" s="63">
        <f>IF(BC21="","",IF(BC21&lt;=Mapping!$C$11,"Shortlisted","Not shortlisted"))</f>
        <v/>
      </c>
      <c r="BE21" s="64">
        <f>IFERROR((AP21/AP$6*Mapping!$D$15+AQ21/AQ$6*Mapping!$D$16+AR21/AR$6*Mapping!$D$17+AS21/AS$6*Mapping!$D$18+AT21/AT$6*Mapping!$D$19+AU21/AU$6*Mapping!$D$20+AV21/AV$6*Mapping!$D$21+AW21/AW$6*Mapping!$D$22+AX21/AX$6*Mapping!$D$23)/SUM(Mapping!$D$15:$D$23),"")</f>
        <v/>
      </c>
      <c r="BF21" s="64">
        <f>IFERROR((AP21/AP$6*Mapping!$E$15+AQ21/AQ$6*Mapping!$E$16+AR21/AR$6*Mapping!$E$17+AS21/AS$6*Mapping!$E$18+AT21/AT$6*Mapping!$E$19+AU21/AU$6*Mapping!$E$20+AV21/AV$6*Mapping!$E$21+AW21/AW$6*Mapping!$E$22+AX21/AX$6*Mapping!$E$23)/SUM(Mapping!$E$15:$E$23),"")</f>
        <v/>
      </c>
      <c r="BG21" s="64">
        <f>IFERROR((AP21/AP$6*Mapping!$F$15+AQ21/AQ$6*Mapping!$F$16+AR21/AR$6*Mapping!$F$17+AS21/AS$6*Mapping!$F$18+AT21/AT$6*Mapping!$F$19+AU21/AU$6*Mapping!$F$20+AV21/AV$6*Mapping!$F$21+AW21/AW$6*Mapping!$F$22+AX21/AX$6*Mapping!$F$23)/SUM(Mapping!$F$15:$F$23),"")</f>
        <v/>
      </c>
      <c r="BH21" s="64">
        <f>IFERROR((AP21/AP$6*Mapping!$G$15+AQ21/AQ$6*Mapping!$G$16+AR21/AR$6*Mapping!$G$17+AS21/AS$6*Mapping!$G$18+AT21/AT$6*Mapping!$G$19+AU21/AU$6*Mapping!$G$20+AV21/AV$6*Mapping!$G$21+AW21/AW$6*Mapping!$G$22+AX21/AX$6*Mapping!$G$23)/SUM(Mapping!$G$15:$G$23),"")</f>
        <v/>
      </c>
      <c r="BI21" s="64">
        <f>IFERROR((AP21/AP$6*Mapping!$H$15+AQ21/AQ$6*Mapping!$H$16+AR21/AR$6*Mapping!$H$17+AS21/AS$6*Mapping!$H$18+AT21/AT$6*Mapping!$H$19+AU21/AU$6*Mapping!$H$20+AV21/AV$6*Mapping!$H$21+AW21/AW$6*Mapping!$H$22+AX21/AX$6*Mapping!$H$23)/SUM(Mapping!$H$15:$H$23),"")</f>
        <v/>
      </c>
      <c r="BJ21" s="64">
        <f>IFERROR((AP21/AP$6*Mapping!$I$15+AQ21/AQ$6*Mapping!$I$16+AR21/AR$6*Mapping!$I$17+AS21/AS$6*Mapping!$I$18+AT21/AT$6*Mapping!$I$19+AU21/AU$6*Mapping!$I$20+AV21/AV$6*Mapping!$I$21+AW21/AW$6*Mapping!$I$22+AX21/AX$6*Mapping!$I$23)/SUM(Mapping!$I$15:$I$23),"")</f>
        <v/>
      </c>
      <c r="BK21" s="64">
        <f>IFERROR((AP21/AP$6*Mapping!$J$15+AQ21/AQ$6*Mapping!$J$16+AR21/AR$6*Mapping!$J$17+AS21/AS$6*Mapping!$J$18+AT21/AT$6*Mapping!$J$19+AU21/AU$6*Mapping!$J$20+AV21/AV$6*Mapping!$J$21+AW21/AW$6*Mapping!$J$22+AX21/AX$6*Mapping!$J$23)/SUM(Mapping!$J$15:$J$23),"")</f>
        <v/>
      </c>
      <c r="BL21" s="64">
        <f>IFERROR((AP21/AP$6*Mapping!$K$15+AQ21/AQ$6*Mapping!$K$16+AR21/AR$6*Mapping!$K$17+AS21/AS$6*Mapping!$K$18+AT21/AT$6*Mapping!$K$19+AU21/AU$6*Mapping!$K$20+AV21/AV$6*Mapping!$K$21+AW21/AW$6*Mapping!$K$22+AX21/AX$6*Mapping!$K$23)/SUM(Mapping!$K$15:$K$23),"")</f>
        <v/>
      </c>
      <c r="BM21" s="64">
        <f>IFERROR((AP21/AP$6*Mapping!$L$15+AQ21/AQ$6*Mapping!$L$16+AR21/AR$6*Mapping!$L$17+AS21/AS$6*Mapping!$L$18+AT21/AT$6*Mapping!$L$19+AU21/AU$6*Mapping!$L$20+AV21/AV$6*Mapping!$L$21+AW21/AW$6*Mapping!$L$22+AX21/AX$6*Mapping!$L$23)/SUM(Mapping!$L$15:$L$23),"")</f>
        <v/>
      </c>
      <c r="BN21" s="64">
        <f>IFERROR((AP21/AP$6*Mapping!$M$15+AQ21/AQ$6*Mapping!$M$16+AR21/AR$6*Mapping!$M$17+AS21/AS$6*Mapping!$M$18+AT21/AT$6*Mapping!$M$19+AU21/AU$6*Mapping!$M$20+AV21/AV$6*Mapping!$M$21+AW21/AW$6*Mapping!$M$22+AX21/AX$6*Mapping!$M$23)/SUM(Mapping!$M$15:$M$23),"")</f>
        <v/>
      </c>
      <c r="BO21" s="64">
        <f>IFERROR((AP21/AP$6*Mapping!$N$15+AQ21/AQ$6*Mapping!$N$16+AR21/AR$6*Mapping!$N$17+AS21/AS$6*Mapping!$N$18+AT21/AT$6*Mapping!$N$19+AU21/AU$6*Mapping!$N$20+AV21/AV$6*Mapping!$N$21+AW21/AW$6*Mapping!$N$22+AX21/AX$6*Mapping!$N$23)/SUM(Mapping!$N$15:$N$23),"")</f>
        <v/>
      </c>
      <c r="BP21" s="64">
        <f>IFERROR((AP21/AP$6*Mapping!$O$15+AQ21/AQ$6*Mapping!$O$16+AR21/AR$6*Mapping!$O$17+AS21/AS$6*Mapping!$O$18+AT21/AT$6*Mapping!$O$19+AU21/AU$6*Mapping!$O$20+AV21/AV$6*Mapping!$O$21+AW21/AW$6*Mapping!$O$22+AX21/AX$6*Mapping!$O$23)/SUM(Mapping!$O$15:$O$23),"")</f>
        <v/>
      </c>
      <c r="BQ21" s="64">
        <f>IFERROR((AP21/AP$6*Mapping!$P$15+AQ21/AQ$6*Mapping!$P$16+AR21/AR$6*Mapping!$P$17+AS21/AS$6*Mapping!$P$18+AT21/AT$6*Mapping!$P$19+AU21/AU$6*Mapping!$P$20+AV21/AV$6*Mapping!$P$21+AW21/AW$6*Mapping!$P$22+AX21/AX$6*Mapping!$P$23)/SUM(Mapping!$P$15:$P$23),"")</f>
        <v/>
      </c>
      <c r="BR21" s="65">
        <f>IF(BA21="","",BA21+N(AS21)/10000)</f>
        <v/>
      </c>
    </row>
    <row r="22" ht="30" customHeight="1">
      <c r="A22" s="28" t="n">
        <v>16</v>
      </c>
      <c r="B22" s="29" t="inlineStr">
        <is>
          <t>5th Sem - A</t>
        </is>
      </c>
      <c r="C22" s="29" t="n"/>
      <c r="D22" s="6" t="n"/>
      <c r="E22" s="6" t="n"/>
      <c r="F22" s="29" t="n"/>
      <c r="G22" s="29" t="n"/>
      <c r="H22" s="6" t="n"/>
      <c r="I22" s="29" t="n"/>
      <c r="J22" s="29" t="n"/>
      <c r="K22" s="29" t="n"/>
      <c r="L22" s="29" t="n"/>
      <c r="M22" s="29" t="n"/>
      <c r="N22" s="29" t="n"/>
      <c r="O22" s="29" t="n"/>
      <c r="P22" s="29" t="n"/>
      <c r="Q22" s="29" t="n"/>
      <c r="R22" s="29" t="n"/>
      <c r="S22" s="29" t="n"/>
      <c r="T22" s="29" t="n"/>
      <c r="U22" s="29" t="n"/>
      <c r="V22" s="29" t="n"/>
      <c r="W22" s="29" t="n"/>
      <c r="X22" s="29" t="n"/>
      <c r="Y22" s="29" t="n"/>
      <c r="Z22" s="29" t="n"/>
      <c r="AA22" s="29" t="n"/>
      <c r="AB22" s="29" t="n"/>
      <c r="AC22" s="29" t="n"/>
      <c r="AD22" s="29" t="n"/>
      <c r="AE22" s="29" t="n"/>
      <c r="AF22" s="29" t="n"/>
      <c r="AG22" s="29" t="n"/>
      <c r="AH22" s="29" t="n"/>
      <c r="AI22" s="29" t="n"/>
      <c r="AJ22" s="29" t="n"/>
      <c r="AK22" s="29" t="n"/>
      <c r="AL22" s="29" t="n"/>
      <c r="AM22" s="29" t="n"/>
      <c r="AN22" s="29" t="n"/>
      <c r="AO22" s="29" t="n"/>
      <c r="AP22" s="59">
        <f>IF(COUNT(I22,T22,AE22)=0,"",AVERAGE(I22,T22,AE22))</f>
        <v/>
      </c>
      <c r="AQ22" s="59">
        <f>IF(COUNT(J22,U22,AF22)=0,"",AVERAGE(J22,U22,AF22))</f>
        <v/>
      </c>
      <c r="AR22" s="59">
        <f>IF(COUNT(K22,V22,AG22)=0,"",AVERAGE(K22,V22,AG22))</f>
        <v/>
      </c>
      <c r="AS22" s="59">
        <f>IF(COUNT(L22,W22,AH22)=0,"",AVERAGE(L22,W22,AH22))</f>
        <v/>
      </c>
      <c r="AT22" s="59">
        <f>IF(COUNT(M22,X22,AI22)=0,"",AVERAGE(M22,X22,AI22))</f>
        <v/>
      </c>
      <c r="AU22" s="59">
        <f>IF(COUNT(N22,Y22,AJ22)=0,"",AVERAGE(N22,Y22,AJ22))</f>
        <v/>
      </c>
      <c r="AV22" s="59">
        <f>IF(COUNT(O22,Z22,AK22)=0,"",AVERAGE(O22,Z22,AK22))</f>
        <v/>
      </c>
      <c r="AW22" s="59">
        <f>IF(COUNT(P22,AA22,AL22)=0,"",AVERAGE(P22,AA22,AL22))</f>
        <v/>
      </c>
      <c r="AX22" s="59">
        <f>IF(COUNT(Q22,AB22,AM22)=0,"",AVERAGE(Q22,AB22,AM22))</f>
        <v/>
      </c>
      <c r="AY22" s="60">
        <f>IF(OR($F22="",COUNT(R22,AC22,AN22)=0),"",AVERAGE(R22,AC22,AN22))</f>
        <v/>
      </c>
      <c r="AZ22" s="60">
        <f>IF(OR($G22="",$G22=$F22,COUNT(S22,AD22,AO22)=0),"",AVERAGE(S22,AD22,AO22))</f>
        <v/>
      </c>
      <c r="BA22" s="61">
        <f>IF(COUNT(AP22:AX22)=0,"",SUM(AP22:AX22))</f>
        <v/>
      </c>
      <c r="BB22" s="62">
        <f>IF(BA22="","",BA22/BA$6)</f>
        <v/>
      </c>
      <c r="BC22" s="14">
        <f>IF(BR22="","",COUNTIF($BR$7:$BR$26,"&gt;"&amp;BR22)+COUNTIF($BR$7:BR22,BR22))</f>
        <v/>
      </c>
      <c r="BD22" s="63">
        <f>IF(BC22="","",IF(BC22&lt;=Mapping!$C$11,"Shortlisted","Not shortlisted"))</f>
        <v/>
      </c>
      <c r="BE22" s="64">
        <f>IFERROR((AP22/AP$6*Mapping!$D$15+AQ22/AQ$6*Mapping!$D$16+AR22/AR$6*Mapping!$D$17+AS22/AS$6*Mapping!$D$18+AT22/AT$6*Mapping!$D$19+AU22/AU$6*Mapping!$D$20+AV22/AV$6*Mapping!$D$21+AW22/AW$6*Mapping!$D$22+AX22/AX$6*Mapping!$D$23)/SUM(Mapping!$D$15:$D$23),"")</f>
        <v/>
      </c>
      <c r="BF22" s="64">
        <f>IFERROR((AP22/AP$6*Mapping!$E$15+AQ22/AQ$6*Mapping!$E$16+AR22/AR$6*Mapping!$E$17+AS22/AS$6*Mapping!$E$18+AT22/AT$6*Mapping!$E$19+AU22/AU$6*Mapping!$E$20+AV22/AV$6*Mapping!$E$21+AW22/AW$6*Mapping!$E$22+AX22/AX$6*Mapping!$E$23)/SUM(Mapping!$E$15:$E$23),"")</f>
        <v/>
      </c>
      <c r="BG22" s="64">
        <f>IFERROR((AP22/AP$6*Mapping!$F$15+AQ22/AQ$6*Mapping!$F$16+AR22/AR$6*Mapping!$F$17+AS22/AS$6*Mapping!$F$18+AT22/AT$6*Mapping!$F$19+AU22/AU$6*Mapping!$F$20+AV22/AV$6*Mapping!$F$21+AW22/AW$6*Mapping!$F$22+AX22/AX$6*Mapping!$F$23)/SUM(Mapping!$F$15:$F$23),"")</f>
        <v/>
      </c>
      <c r="BH22" s="64">
        <f>IFERROR((AP22/AP$6*Mapping!$G$15+AQ22/AQ$6*Mapping!$G$16+AR22/AR$6*Mapping!$G$17+AS22/AS$6*Mapping!$G$18+AT22/AT$6*Mapping!$G$19+AU22/AU$6*Mapping!$G$20+AV22/AV$6*Mapping!$G$21+AW22/AW$6*Mapping!$G$22+AX22/AX$6*Mapping!$G$23)/SUM(Mapping!$G$15:$G$23),"")</f>
        <v/>
      </c>
      <c r="BI22" s="64">
        <f>IFERROR((AP22/AP$6*Mapping!$H$15+AQ22/AQ$6*Mapping!$H$16+AR22/AR$6*Mapping!$H$17+AS22/AS$6*Mapping!$H$18+AT22/AT$6*Mapping!$H$19+AU22/AU$6*Mapping!$H$20+AV22/AV$6*Mapping!$H$21+AW22/AW$6*Mapping!$H$22+AX22/AX$6*Mapping!$H$23)/SUM(Mapping!$H$15:$H$23),"")</f>
        <v/>
      </c>
      <c r="BJ22" s="64">
        <f>IFERROR((AP22/AP$6*Mapping!$I$15+AQ22/AQ$6*Mapping!$I$16+AR22/AR$6*Mapping!$I$17+AS22/AS$6*Mapping!$I$18+AT22/AT$6*Mapping!$I$19+AU22/AU$6*Mapping!$I$20+AV22/AV$6*Mapping!$I$21+AW22/AW$6*Mapping!$I$22+AX22/AX$6*Mapping!$I$23)/SUM(Mapping!$I$15:$I$23),"")</f>
        <v/>
      </c>
      <c r="BK22" s="64">
        <f>IFERROR((AP22/AP$6*Mapping!$J$15+AQ22/AQ$6*Mapping!$J$16+AR22/AR$6*Mapping!$J$17+AS22/AS$6*Mapping!$J$18+AT22/AT$6*Mapping!$J$19+AU22/AU$6*Mapping!$J$20+AV22/AV$6*Mapping!$J$21+AW22/AW$6*Mapping!$J$22+AX22/AX$6*Mapping!$J$23)/SUM(Mapping!$J$15:$J$23),"")</f>
        <v/>
      </c>
      <c r="BL22" s="64">
        <f>IFERROR((AP22/AP$6*Mapping!$K$15+AQ22/AQ$6*Mapping!$K$16+AR22/AR$6*Mapping!$K$17+AS22/AS$6*Mapping!$K$18+AT22/AT$6*Mapping!$K$19+AU22/AU$6*Mapping!$K$20+AV22/AV$6*Mapping!$K$21+AW22/AW$6*Mapping!$K$22+AX22/AX$6*Mapping!$K$23)/SUM(Mapping!$K$15:$K$23),"")</f>
        <v/>
      </c>
      <c r="BM22" s="64">
        <f>IFERROR((AP22/AP$6*Mapping!$L$15+AQ22/AQ$6*Mapping!$L$16+AR22/AR$6*Mapping!$L$17+AS22/AS$6*Mapping!$L$18+AT22/AT$6*Mapping!$L$19+AU22/AU$6*Mapping!$L$20+AV22/AV$6*Mapping!$L$21+AW22/AW$6*Mapping!$L$22+AX22/AX$6*Mapping!$L$23)/SUM(Mapping!$L$15:$L$23),"")</f>
        <v/>
      </c>
      <c r="BN22" s="64">
        <f>IFERROR((AP22/AP$6*Mapping!$M$15+AQ22/AQ$6*Mapping!$M$16+AR22/AR$6*Mapping!$M$17+AS22/AS$6*Mapping!$M$18+AT22/AT$6*Mapping!$M$19+AU22/AU$6*Mapping!$M$20+AV22/AV$6*Mapping!$M$21+AW22/AW$6*Mapping!$M$22+AX22/AX$6*Mapping!$M$23)/SUM(Mapping!$M$15:$M$23),"")</f>
        <v/>
      </c>
      <c r="BO22" s="64">
        <f>IFERROR((AP22/AP$6*Mapping!$N$15+AQ22/AQ$6*Mapping!$N$16+AR22/AR$6*Mapping!$N$17+AS22/AS$6*Mapping!$N$18+AT22/AT$6*Mapping!$N$19+AU22/AU$6*Mapping!$N$20+AV22/AV$6*Mapping!$N$21+AW22/AW$6*Mapping!$N$22+AX22/AX$6*Mapping!$N$23)/SUM(Mapping!$N$15:$N$23),"")</f>
        <v/>
      </c>
      <c r="BP22" s="64">
        <f>IFERROR((AP22/AP$6*Mapping!$O$15+AQ22/AQ$6*Mapping!$O$16+AR22/AR$6*Mapping!$O$17+AS22/AS$6*Mapping!$O$18+AT22/AT$6*Mapping!$O$19+AU22/AU$6*Mapping!$O$20+AV22/AV$6*Mapping!$O$21+AW22/AW$6*Mapping!$O$22+AX22/AX$6*Mapping!$O$23)/SUM(Mapping!$O$15:$O$23),"")</f>
        <v/>
      </c>
      <c r="BQ22" s="64">
        <f>IFERROR((AP22/AP$6*Mapping!$P$15+AQ22/AQ$6*Mapping!$P$16+AR22/AR$6*Mapping!$P$17+AS22/AS$6*Mapping!$P$18+AT22/AT$6*Mapping!$P$19+AU22/AU$6*Mapping!$P$20+AV22/AV$6*Mapping!$P$21+AW22/AW$6*Mapping!$P$22+AX22/AX$6*Mapping!$P$23)/SUM(Mapping!$P$15:$P$23),"")</f>
        <v/>
      </c>
      <c r="BR22" s="65">
        <f>IF(BA22="","",BA22+N(AS22)/10000)</f>
        <v/>
      </c>
    </row>
    <row r="23" ht="30" customHeight="1">
      <c r="A23" s="28" t="n">
        <v>17</v>
      </c>
      <c r="B23" s="29" t="inlineStr">
        <is>
          <t>5th Sem - A</t>
        </is>
      </c>
      <c r="C23" s="29" t="n"/>
      <c r="D23" s="6" t="n"/>
      <c r="E23" s="6" t="n"/>
      <c r="F23" s="29" t="n"/>
      <c r="G23" s="29" t="n"/>
      <c r="H23" s="6" t="n"/>
      <c r="I23" s="29" t="n"/>
      <c r="J23" s="29" t="n"/>
      <c r="K23" s="29" t="n"/>
      <c r="L23" s="29" t="n"/>
      <c r="M23" s="29" t="n"/>
      <c r="N23" s="29" t="n"/>
      <c r="O23" s="29" t="n"/>
      <c r="P23" s="29" t="n"/>
      <c r="Q23" s="29" t="n"/>
      <c r="R23" s="29" t="n"/>
      <c r="S23" s="29" t="n"/>
      <c r="T23" s="29" t="n"/>
      <c r="U23" s="29" t="n"/>
      <c r="V23" s="29" t="n"/>
      <c r="W23" s="29" t="n"/>
      <c r="X23" s="29" t="n"/>
      <c r="Y23" s="29" t="n"/>
      <c r="Z23" s="29" t="n"/>
      <c r="AA23" s="29" t="n"/>
      <c r="AB23" s="29" t="n"/>
      <c r="AC23" s="29" t="n"/>
      <c r="AD23" s="29" t="n"/>
      <c r="AE23" s="29" t="n"/>
      <c r="AF23" s="29" t="n"/>
      <c r="AG23" s="29" t="n"/>
      <c r="AH23" s="29" t="n"/>
      <c r="AI23" s="29" t="n"/>
      <c r="AJ23" s="29" t="n"/>
      <c r="AK23" s="29" t="n"/>
      <c r="AL23" s="29" t="n"/>
      <c r="AM23" s="29" t="n"/>
      <c r="AN23" s="29" t="n"/>
      <c r="AO23" s="29" t="n"/>
      <c r="AP23" s="59">
        <f>IF(COUNT(I23,T23,AE23)=0,"",AVERAGE(I23,T23,AE23))</f>
        <v/>
      </c>
      <c r="AQ23" s="59">
        <f>IF(COUNT(J23,U23,AF23)=0,"",AVERAGE(J23,U23,AF23))</f>
        <v/>
      </c>
      <c r="AR23" s="59">
        <f>IF(COUNT(K23,V23,AG23)=0,"",AVERAGE(K23,V23,AG23))</f>
        <v/>
      </c>
      <c r="AS23" s="59">
        <f>IF(COUNT(L23,W23,AH23)=0,"",AVERAGE(L23,W23,AH23))</f>
        <v/>
      </c>
      <c r="AT23" s="59">
        <f>IF(COUNT(M23,X23,AI23)=0,"",AVERAGE(M23,X23,AI23))</f>
        <v/>
      </c>
      <c r="AU23" s="59">
        <f>IF(COUNT(N23,Y23,AJ23)=0,"",AVERAGE(N23,Y23,AJ23))</f>
        <v/>
      </c>
      <c r="AV23" s="59">
        <f>IF(COUNT(O23,Z23,AK23)=0,"",AVERAGE(O23,Z23,AK23))</f>
        <v/>
      </c>
      <c r="AW23" s="59">
        <f>IF(COUNT(P23,AA23,AL23)=0,"",AVERAGE(P23,AA23,AL23))</f>
        <v/>
      </c>
      <c r="AX23" s="59">
        <f>IF(COUNT(Q23,AB23,AM23)=0,"",AVERAGE(Q23,AB23,AM23))</f>
        <v/>
      </c>
      <c r="AY23" s="60">
        <f>IF(OR($F23="",COUNT(R23,AC23,AN23)=0),"",AVERAGE(R23,AC23,AN23))</f>
        <v/>
      </c>
      <c r="AZ23" s="60">
        <f>IF(OR($G23="",$G23=$F23,COUNT(S23,AD23,AO23)=0),"",AVERAGE(S23,AD23,AO23))</f>
        <v/>
      </c>
      <c r="BA23" s="61">
        <f>IF(COUNT(AP23:AX23)=0,"",SUM(AP23:AX23))</f>
        <v/>
      </c>
      <c r="BB23" s="62">
        <f>IF(BA23="","",BA23/BA$6)</f>
        <v/>
      </c>
      <c r="BC23" s="14">
        <f>IF(BR23="","",COUNTIF($BR$7:$BR$26,"&gt;"&amp;BR23)+COUNTIF($BR$7:BR23,BR23))</f>
        <v/>
      </c>
      <c r="BD23" s="63">
        <f>IF(BC23="","",IF(BC23&lt;=Mapping!$C$11,"Shortlisted","Not shortlisted"))</f>
        <v/>
      </c>
      <c r="BE23" s="64">
        <f>IFERROR((AP23/AP$6*Mapping!$D$15+AQ23/AQ$6*Mapping!$D$16+AR23/AR$6*Mapping!$D$17+AS23/AS$6*Mapping!$D$18+AT23/AT$6*Mapping!$D$19+AU23/AU$6*Mapping!$D$20+AV23/AV$6*Mapping!$D$21+AW23/AW$6*Mapping!$D$22+AX23/AX$6*Mapping!$D$23)/SUM(Mapping!$D$15:$D$23),"")</f>
        <v/>
      </c>
      <c r="BF23" s="64">
        <f>IFERROR((AP23/AP$6*Mapping!$E$15+AQ23/AQ$6*Mapping!$E$16+AR23/AR$6*Mapping!$E$17+AS23/AS$6*Mapping!$E$18+AT23/AT$6*Mapping!$E$19+AU23/AU$6*Mapping!$E$20+AV23/AV$6*Mapping!$E$21+AW23/AW$6*Mapping!$E$22+AX23/AX$6*Mapping!$E$23)/SUM(Mapping!$E$15:$E$23),"")</f>
        <v/>
      </c>
      <c r="BG23" s="64">
        <f>IFERROR((AP23/AP$6*Mapping!$F$15+AQ23/AQ$6*Mapping!$F$16+AR23/AR$6*Mapping!$F$17+AS23/AS$6*Mapping!$F$18+AT23/AT$6*Mapping!$F$19+AU23/AU$6*Mapping!$F$20+AV23/AV$6*Mapping!$F$21+AW23/AW$6*Mapping!$F$22+AX23/AX$6*Mapping!$F$23)/SUM(Mapping!$F$15:$F$23),"")</f>
        <v/>
      </c>
      <c r="BH23" s="64">
        <f>IFERROR((AP23/AP$6*Mapping!$G$15+AQ23/AQ$6*Mapping!$G$16+AR23/AR$6*Mapping!$G$17+AS23/AS$6*Mapping!$G$18+AT23/AT$6*Mapping!$G$19+AU23/AU$6*Mapping!$G$20+AV23/AV$6*Mapping!$G$21+AW23/AW$6*Mapping!$G$22+AX23/AX$6*Mapping!$G$23)/SUM(Mapping!$G$15:$G$23),"")</f>
        <v/>
      </c>
      <c r="BI23" s="64">
        <f>IFERROR((AP23/AP$6*Mapping!$H$15+AQ23/AQ$6*Mapping!$H$16+AR23/AR$6*Mapping!$H$17+AS23/AS$6*Mapping!$H$18+AT23/AT$6*Mapping!$H$19+AU23/AU$6*Mapping!$H$20+AV23/AV$6*Mapping!$H$21+AW23/AW$6*Mapping!$H$22+AX23/AX$6*Mapping!$H$23)/SUM(Mapping!$H$15:$H$23),"")</f>
        <v/>
      </c>
      <c r="BJ23" s="64">
        <f>IFERROR((AP23/AP$6*Mapping!$I$15+AQ23/AQ$6*Mapping!$I$16+AR23/AR$6*Mapping!$I$17+AS23/AS$6*Mapping!$I$18+AT23/AT$6*Mapping!$I$19+AU23/AU$6*Mapping!$I$20+AV23/AV$6*Mapping!$I$21+AW23/AW$6*Mapping!$I$22+AX23/AX$6*Mapping!$I$23)/SUM(Mapping!$I$15:$I$23),"")</f>
        <v/>
      </c>
      <c r="BK23" s="64">
        <f>IFERROR((AP23/AP$6*Mapping!$J$15+AQ23/AQ$6*Mapping!$J$16+AR23/AR$6*Mapping!$J$17+AS23/AS$6*Mapping!$J$18+AT23/AT$6*Mapping!$J$19+AU23/AU$6*Mapping!$J$20+AV23/AV$6*Mapping!$J$21+AW23/AW$6*Mapping!$J$22+AX23/AX$6*Mapping!$J$23)/SUM(Mapping!$J$15:$J$23),"")</f>
        <v/>
      </c>
      <c r="BL23" s="64">
        <f>IFERROR((AP23/AP$6*Mapping!$K$15+AQ23/AQ$6*Mapping!$K$16+AR23/AR$6*Mapping!$K$17+AS23/AS$6*Mapping!$K$18+AT23/AT$6*Mapping!$K$19+AU23/AU$6*Mapping!$K$20+AV23/AV$6*Mapping!$K$21+AW23/AW$6*Mapping!$K$22+AX23/AX$6*Mapping!$K$23)/SUM(Mapping!$K$15:$K$23),"")</f>
        <v/>
      </c>
      <c r="BM23" s="64">
        <f>IFERROR((AP23/AP$6*Mapping!$L$15+AQ23/AQ$6*Mapping!$L$16+AR23/AR$6*Mapping!$L$17+AS23/AS$6*Mapping!$L$18+AT23/AT$6*Mapping!$L$19+AU23/AU$6*Mapping!$L$20+AV23/AV$6*Mapping!$L$21+AW23/AW$6*Mapping!$L$22+AX23/AX$6*Mapping!$L$23)/SUM(Mapping!$L$15:$L$23),"")</f>
        <v/>
      </c>
      <c r="BN23" s="64">
        <f>IFERROR((AP23/AP$6*Mapping!$M$15+AQ23/AQ$6*Mapping!$M$16+AR23/AR$6*Mapping!$M$17+AS23/AS$6*Mapping!$M$18+AT23/AT$6*Mapping!$M$19+AU23/AU$6*Mapping!$M$20+AV23/AV$6*Mapping!$M$21+AW23/AW$6*Mapping!$M$22+AX23/AX$6*Mapping!$M$23)/SUM(Mapping!$M$15:$M$23),"")</f>
        <v/>
      </c>
      <c r="BO23" s="64">
        <f>IFERROR((AP23/AP$6*Mapping!$N$15+AQ23/AQ$6*Mapping!$N$16+AR23/AR$6*Mapping!$N$17+AS23/AS$6*Mapping!$N$18+AT23/AT$6*Mapping!$N$19+AU23/AU$6*Mapping!$N$20+AV23/AV$6*Mapping!$N$21+AW23/AW$6*Mapping!$N$22+AX23/AX$6*Mapping!$N$23)/SUM(Mapping!$N$15:$N$23),"")</f>
        <v/>
      </c>
      <c r="BP23" s="64">
        <f>IFERROR((AP23/AP$6*Mapping!$O$15+AQ23/AQ$6*Mapping!$O$16+AR23/AR$6*Mapping!$O$17+AS23/AS$6*Mapping!$O$18+AT23/AT$6*Mapping!$O$19+AU23/AU$6*Mapping!$O$20+AV23/AV$6*Mapping!$O$21+AW23/AW$6*Mapping!$O$22+AX23/AX$6*Mapping!$O$23)/SUM(Mapping!$O$15:$O$23),"")</f>
        <v/>
      </c>
      <c r="BQ23" s="64">
        <f>IFERROR((AP23/AP$6*Mapping!$P$15+AQ23/AQ$6*Mapping!$P$16+AR23/AR$6*Mapping!$P$17+AS23/AS$6*Mapping!$P$18+AT23/AT$6*Mapping!$P$19+AU23/AU$6*Mapping!$P$20+AV23/AV$6*Mapping!$P$21+AW23/AW$6*Mapping!$P$22+AX23/AX$6*Mapping!$P$23)/SUM(Mapping!$P$15:$P$23),"")</f>
        <v/>
      </c>
      <c r="BR23" s="65">
        <f>IF(BA23="","",BA23+N(AS23)/10000)</f>
        <v/>
      </c>
    </row>
    <row r="24" ht="30" customHeight="1">
      <c r="A24" s="28" t="n">
        <v>18</v>
      </c>
      <c r="B24" s="29" t="inlineStr">
        <is>
          <t>5th Sem - A</t>
        </is>
      </c>
      <c r="C24" s="29" t="n"/>
      <c r="D24" s="6" t="n"/>
      <c r="E24" s="6" t="n"/>
      <c r="F24" s="29" t="n"/>
      <c r="G24" s="29" t="n"/>
      <c r="H24" s="6" t="n"/>
      <c r="I24" s="29" t="n"/>
      <c r="J24" s="29" t="n"/>
      <c r="K24" s="29" t="n"/>
      <c r="L24" s="29" t="n"/>
      <c r="M24" s="29" t="n"/>
      <c r="N24" s="29" t="n"/>
      <c r="O24" s="29" t="n"/>
      <c r="P24" s="29" t="n"/>
      <c r="Q24" s="29" t="n"/>
      <c r="R24" s="29" t="n"/>
      <c r="S24" s="29" t="n"/>
      <c r="T24" s="29" t="n"/>
      <c r="U24" s="29" t="n"/>
      <c r="V24" s="29" t="n"/>
      <c r="W24" s="29" t="n"/>
      <c r="X24" s="29" t="n"/>
      <c r="Y24" s="29" t="n"/>
      <c r="Z24" s="29" t="n"/>
      <c r="AA24" s="29" t="n"/>
      <c r="AB24" s="29" t="n"/>
      <c r="AC24" s="29" t="n"/>
      <c r="AD24" s="29" t="n"/>
      <c r="AE24" s="29" t="n"/>
      <c r="AF24" s="29" t="n"/>
      <c r="AG24" s="29" t="n"/>
      <c r="AH24" s="29" t="n"/>
      <c r="AI24" s="29" t="n"/>
      <c r="AJ24" s="29" t="n"/>
      <c r="AK24" s="29" t="n"/>
      <c r="AL24" s="29" t="n"/>
      <c r="AM24" s="29" t="n"/>
      <c r="AN24" s="29" t="n"/>
      <c r="AO24" s="29" t="n"/>
      <c r="AP24" s="59">
        <f>IF(COUNT(I24,T24,AE24)=0,"",AVERAGE(I24,T24,AE24))</f>
        <v/>
      </c>
      <c r="AQ24" s="59">
        <f>IF(COUNT(J24,U24,AF24)=0,"",AVERAGE(J24,U24,AF24))</f>
        <v/>
      </c>
      <c r="AR24" s="59">
        <f>IF(COUNT(K24,V24,AG24)=0,"",AVERAGE(K24,V24,AG24))</f>
        <v/>
      </c>
      <c r="AS24" s="59">
        <f>IF(COUNT(L24,W24,AH24)=0,"",AVERAGE(L24,W24,AH24))</f>
        <v/>
      </c>
      <c r="AT24" s="59">
        <f>IF(COUNT(M24,X24,AI24)=0,"",AVERAGE(M24,X24,AI24))</f>
        <v/>
      </c>
      <c r="AU24" s="59">
        <f>IF(COUNT(N24,Y24,AJ24)=0,"",AVERAGE(N24,Y24,AJ24))</f>
        <v/>
      </c>
      <c r="AV24" s="59">
        <f>IF(COUNT(O24,Z24,AK24)=0,"",AVERAGE(O24,Z24,AK24))</f>
        <v/>
      </c>
      <c r="AW24" s="59">
        <f>IF(COUNT(P24,AA24,AL24)=0,"",AVERAGE(P24,AA24,AL24))</f>
        <v/>
      </c>
      <c r="AX24" s="59">
        <f>IF(COUNT(Q24,AB24,AM24)=0,"",AVERAGE(Q24,AB24,AM24))</f>
        <v/>
      </c>
      <c r="AY24" s="60">
        <f>IF(OR($F24="",COUNT(R24,AC24,AN24)=0),"",AVERAGE(R24,AC24,AN24))</f>
        <v/>
      </c>
      <c r="AZ24" s="60">
        <f>IF(OR($G24="",$G24=$F24,COUNT(S24,AD24,AO24)=0),"",AVERAGE(S24,AD24,AO24))</f>
        <v/>
      </c>
      <c r="BA24" s="61">
        <f>IF(COUNT(AP24:AX24)=0,"",SUM(AP24:AX24))</f>
        <v/>
      </c>
      <c r="BB24" s="62">
        <f>IF(BA24="","",BA24/BA$6)</f>
        <v/>
      </c>
      <c r="BC24" s="14">
        <f>IF(BR24="","",COUNTIF($BR$7:$BR$26,"&gt;"&amp;BR24)+COUNTIF($BR$7:BR24,BR24))</f>
        <v/>
      </c>
      <c r="BD24" s="63">
        <f>IF(BC24="","",IF(BC24&lt;=Mapping!$C$11,"Shortlisted","Not shortlisted"))</f>
        <v/>
      </c>
      <c r="BE24" s="64">
        <f>IFERROR((AP24/AP$6*Mapping!$D$15+AQ24/AQ$6*Mapping!$D$16+AR24/AR$6*Mapping!$D$17+AS24/AS$6*Mapping!$D$18+AT24/AT$6*Mapping!$D$19+AU24/AU$6*Mapping!$D$20+AV24/AV$6*Mapping!$D$21+AW24/AW$6*Mapping!$D$22+AX24/AX$6*Mapping!$D$23)/SUM(Mapping!$D$15:$D$23),"")</f>
        <v/>
      </c>
      <c r="BF24" s="64">
        <f>IFERROR((AP24/AP$6*Mapping!$E$15+AQ24/AQ$6*Mapping!$E$16+AR24/AR$6*Mapping!$E$17+AS24/AS$6*Mapping!$E$18+AT24/AT$6*Mapping!$E$19+AU24/AU$6*Mapping!$E$20+AV24/AV$6*Mapping!$E$21+AW24/AW$6*Mapping!$E$22+AX24/AX$6*Mapping!$E$23)/SUM(Mapping!$E$15:$E$23),"")</f>
        <v/>
      </c>
      <c r="BG24" s="64">
        <f>IFERROR((AP24/AP$6*Mapping!$F$15+AQ24/AQ$6*Mapping!$F$16+AR24/AR$6*Mapping!$F$17+AS24/AS$6*Mapping!$F$18+AT24/AT$6*Mapping!$F$19+AU24/AU$6*Mapping!$F$20+AV24/AV$6*Mapping!$F$21+AW24/AW$6*Mapping!$F$22+AX24/AX$6*Mapping!$F$23)/SUM(Mapping!$F$15:$F$23),"")</f>
        <v/>
      </c>
      <c r="BH24" s="64">
        <f>IFERROR((AP24/AP$6*Mapping!$G$15+AQ24/AQ$6*Mapping!$G$16+AR24/AR$6*Mapping!$G$17+AS24/AS$6*Mapping!$G$18+AT24/AT$6*Mapping!$G$19+AU24/AU$6*Mapping!$G$20+AV24/AV$6*Mapping!$G$21+AW24/AW$6*Mapping!$G$22+AX24/AX$6*Mapping!$G$23)/SUM(Mapping!$G$15:$G$23),"")</f>
        <v/>
      </c>
      <c r="BI24" s="64">
        <f>IFERROR((AP24/AP$6*Mapping!$H$15+AQ24/AQ$6*Mapping!$H$16+AR24/AR$6*Mapping!$H$17+AS24/AS$6*Mapping!$H$18+AT24/AT$6*Mapping!$H$19+AU24/AU$6*Mapping!$H$20+AV24/AV$6*Mapping!$H$21+AW24/AW$6*Mapping!$H$22+AX24/AX$6*Mapping!$H$23)/SUM(Mapping!$H$15:$H$23),"")</f>
        <v/>
      </c>
      <c r="BJ24" s="64">
        <f>IFERROR((AP24/AP$6*Mapping!$I$15+AQ24/AQ$6*Mapping!$I$16+AR24/AR$6*Mapping!$I$17+AS24/AS$6*Mapping!$I$18+AT24/AT$6*Mapping!$I$19+AU24/AU$6*Mapping!$I$20+AV24/AV$6*Mapping!$I$21+AW24/AW$6*Mapping!$I$22+AX24/AX$6*Mapping!$I$23)/SUM(Mapping!$I$15:$I$23),"")</f>
        <v/>
      </c>
      <c r="BK24" s="64">
        <f>IFERROR((AP24/AP$6*Mapping!$J$15+AQ24/AQ$6*Mapping!$J$16+AR24/AR$6*Mapping!$J$17+AS24/AS$6*Mapping!$J$18+AT24/AT$6*Mapping!$J$19+AU24/AU$6*Mapping!$J$20+AV24/AV$6*Mapping!$J$21+AW24/AW$6*Mapping!$J$22+AX24/AX$6*Mapping!$J$23)/SUM(Mapping!$J$15:$J$23),"")</f>
        <v/>
      </c>
      <c r="BL24" s="64">
        <f>IFERROR((AP24/AP$6*Mapping!$K$15+AQ24/AQ$6*Mapping!$K$16+AR24/AR$6*Mapping!$K$17+AS24/AS$6*Mapping!$K$18+AT24/AT$6*Mapping!$K$19+AU24/AU$6*Mapping!$K$20+AV24/AV$6*Mapping!$K$21+AW24/AW$6*Mapping!$K$22+AX24/AX$6*Mapping!$K$23)/SUM(Mapping!$K$15:$K$23),"")</f>
        <v/>
      </c>
      <c r="BM24" s="64">
        <f>IFERROR((AP24/AP$6*Mapping!$L$15+AQ24/AQ$6*Mapping!$L$16+AR24/AR$6*Mapping!$L$17+AS24/AS$6*Mapping!$L$18+AT24/AT$6*Mapping!$L$19+AU24/AU$6*Mapping!$L$20+AV24/AV$6*Mapping!$L$21+AW24/AW$6*Mapping!$L$22+AX24/AX$6*Mapping!$L$23)/SUM(Mapping!$L$15:$L$23),"")</f>
        <v/>
      </c>
      <c r="BN24" s="64">
        <f>IFERROR((AP24/AP$6*Mapping!$M$15+AQ24/AQ$6*Mapping!$M$16+AR24/AR$6*Mapping!$M$17+AS24/AS$6*Mapping!$M$18+AT24/AT$6*Mapping!$M$19+AU24/AU$6*Mapping!$M$20+AV24/AV$6*Mapping!$M$21+AW24/AW$6*Mapping!$M$22+AX24/AX$6*Mapping!$M$23)/SUM(Mapping!$M$15:$M$23),"")</f>
        <v/>
      </c>
      <c r="BO24" s="64">
        <f>IFERROR((AP24/AP$6*Mapping!$N$15+AQ24/AQ$6*Mapping!$N$16+AR24/AR$6*Mapping!$N$17+AS24/AS$6*Mapping!$N$18+AT24/AT$6*Mapping!$N$19+AU24/AU$6*Mapping!$N$20+AV24/AV$6*Mapping!$N$21+AW24/AW$6*Mapping!$N$22+AX24/AX$6*Mapping!$N$23)/SUM(Mapping!$N$15:$N$23),"")</f>
        <v/>
      </c>
      <c r="BP24" s="64">
        <f>IFERROR((AP24/AP$6*Mapping!$O$15+AQ24/AQ$6*Mapping!$O$16+AR24/AR$6*Mapping!$O$17+AS24/AS$6*Mapping!$O$18+AT24/AT$6*Mapping!$O$19+AU24/AU$6*Mapping!$O$20+AV24/AV$6*Mapping!$O$21+AW24/AW$6*Mapping!$O$22+AX24/AX$6*Mapping!$O$23)/SUM(Mapping!$O$15:$O$23),"")</f>
        <v/>
      </c>
      <c r="BQ24" s="64">
        <f>IFERROR((AP24/AP$6*Mapping!$P$15+AQ24/AQ$6*Mapping!$P$16+AR24/AR$6*Mapping!$P$17+AS24/AS$6*Mapping!$P$18+AT24/AT$6*Mapping!$P$19+AU24/AU$6*Mapping!$P$20+AV24/AV$6*Mapping!$P$21+AW24/AW$6*Mapping!$P$22+AX24/AX$6*Mapping!$P$23)/SUM(Mapping!$P$15:$P$23),"")</f>
        <v/>
      </c>
      <c r="BR24" s="65">
        <f>IF(BA24="","",BA24+N(AS24)/10000)</f>
        <v/>
      </c>
    </row>
    <row r="25" ht="30" customHeight="1">
      <c r="A25" s="28" t="n">
        <v>19</v>
      </c>
      <c r="B25" s="29" t="inlineStr">
        <is>
          <t>5th Sem - A</t>
        </is>
      </c>
      <c r="C25" s="29" t="n"/>
      <c r="D25" s="6" t="n"/>
      <c r="E25" s="6" t="n"/>
      <c r="F25" s="29" t="n"/>
      <c r="G25" s="29" t="n"/>
      <c r="H25" s="6" t="n"/>
      <c r="I25" s="29" t="n"/>
      <c r="J25" s="29" t="n"/>
      <c r="K25" s="29" t="n"/>
      <c r="L25" s="29" t="n"/>
      <c r="M25" s="29" t="n"/>
      <c r="N25" s="29" t="n"/>
      <c r="O25" s="29" t="n"/>
      <c r="P25" s="29" t="n"/>
      <c r="Q25" s="29" t="n"/>
      <c r="R25" s="29" t="n"/>
      <c r="S25" s="29" t="n"/>
      <c r="T25" s="29" t="n"/>
      <c r="U25" s="29" t="n"/>
      <c r="V25" s="29" t="n"/>
      <c r="W25" s="29" t="n"/>
      <c r="X25" s="29" t="n"/>
      <c r="Y25" s="29" t="n"/>
      <c r="Z25" s="29" t="n"/>
      <c r="AA25" s="29" t="n"/>
      <c r="AB25" s="29" t="n"/>
      <c r="AC25" s="29" t="n"/>
      <c r="AD25" s="29" t="n"/>
      <c r="AE25" s="29" t="n"/>
      <c r="AF25" s="29" t="n"/>
      <c r="AG25" s="29" t="n"/>
      <c r="AH25" s="29" t="n"/>
      <c r="AI25" s="29" t="n"/>
      <c r="AJ25" s="29" t="n"/>
      <c r="AK25" s="29" t="n"/>
      <c r="AL25" s="29" t="n"/>
      <c r="AM25" s="29" t="n"/>
      <c r="AN25" s="29" t="n"/>
      <c r="AO25" s="29" t="n"/>
      <c r="AP25" s="59">
        <f>IF(COUNT(I25,T25,AE25)=0,"",AVERAGE(I25,T25,AE25))</f>
        <v/>
      </c>
      <c r="AQ25" s="59">
        <f>IF(COUNT(J25,U25,AF25)=0,"",AVERAGE(J25,U25,AF25))</f>
        <v/>
      </c>
      <c r="AR25" s="59">
        <f>IF(COUNT(K25,V25,AG25)=0,"",AVERAGE(K25,V25,AG25))</f>
        <v/>
      </c>
      <c r="AS25" s="59">
        <f>IF(COUNT(L25,W25,AH25)=0,"",AVERAGE(L25,W25,AH25))</f>
        <v/>
      </c>
      <c r="AT25" s="59">
        <f>IF(COUNT(M25,X25,AI25)=0,"",AVERAGE(M25,X25,AI25))</f>
        <v/>
      </c>
      <c r="AU25" s="59">
        <f>IF(COUNT(N25,Y25,AJ25)=0,"",AVERAGE(N25,Y25,AJ25))</f>
        <v/>
      </c>
      <c r="AV25" s="59">
        <f>IF(COUNT(O25,Z25,AK25)=0,"",AVERAGE(O25,Z25,AK25))</f>
        <v/>
      </c>
      <c r="AW25" s="59">
        <f>IF(COUNT(P25,AA25,AL25)=0,"",AVERAGE(P25,AA25,AL25))</f>
        <v/>
      </c>
      <c r="AX25" s="59">
        <f>IF(COUNT(Q25,AB25,AM25)=0,"",AVERAGE(Q25,AB25,AM25))</f>
        <v/>
      </c>
      <c r="AY25" s="60">
        <f>IF(OR($F25="",COUNT(R25,AC25,AN25)=0),"",AVERAGE(R25,AC25,AN25))</f>
        <v/>
      </c>
      <c r="AZ25" s="60">
        <f>IF(OR($G25="",$G25=$F25,COUNT(S25,AD25,AO25)=0),"",AVERAGE(S25,AD25,AO25))</f>
        <v/>
      </c>
      <c r="BA25" s="61">
        <f>IF(COUNT(AP25:AX25)=0,"",SUM(AP25:AX25))</f>
        <v/>
      </c>
      <c r="BB25" s="62">
        <f>IF(BA25="","",BA25/BA$6)</f>
        <v/>
      </c>
      <c r="BC25" s="14">
        <f>IF(BR25="","",COUNTIF($BR$7:$BR$26,"&gt;"&amp;BR25)+COUNTIF($BR$7:BR25,BR25))</f>
        <v/>
      </c>
      <c r="BD25" s="63">
        <f>IF(BC25="","",IF(BC25&lt;=Mapping!$C$11,"Shortlisted","Not shortlisted"))</f>
        <v/>
      </c>
      <c r="BE25" s="64">
        <f>IFERROR((AP25/AP$6*Mapping!$D$15+AQ25/AQ$6*Mapping!$D$16+AR25/AR$6*Mapping!$D$17+AS25/AS$6*Mapping!$D$18+AT25/AT$6*Mapping!$D$19+AU25/AU$6*Mapping!$D$20+AV25/AV$6*Mapping!$D$21+AW25/AW$6*Mapping!$D$22+AX25/AX$6*Mapping!$D$23)/SUM(Mapping!$D$15:$D$23),"")</f>
        <v/>
      </c>
      <c r="BF25" s="64">
        <f>IFERROR((AP25/AP$6*Mapping!$E$15+AQ25/AQ$6*Mapping!$E$16+AR25/AR$6*Mapping!$E$17+AS25/AS$6*Mapping!$E$18+AT25/AT$6*Mapping!$E$19+AU25/AU$6*Mapping!$E$20+AV25/AV$6*Mapping!$E$21+AW25/AW$6*Mapping!$E$22+AX25/AX$6*Mapping!$E$23)/SUM(Mapping!$E$15:$E$23),"")</f>
        <v/>
      </c>
      <c r="BG25" s="64">
        <f>IFERROR((AP25/AP$6*Mapping!$F$15+AQ25/AQ$6*Mapping!$F$16+AR25/AR$6*Mapping!$F$17+AS25/AS$6*Mapping!$F$18+AT25/AT$6*Mapping!$F$19+AU25/AU$6*Mapping!$F$20+AV25/AV$6*Mapping!$F$21+AW25/AW$6*Mapping!$F$22+AX25/AX$6*Mapping!$F$23)/SUM(Mapping!$F$15:$F$23),"")</f>
        <v/>
      </c>
      <c r="BH25" s="64">
        <f>IFERROR((AP25/AP$6*Mapping!$G$15+AQ25/AQ$6*Mapping!$G$16+AR25/AR$6*Mapping!$G$17+AS25/AS$6*Mapping!$G$18+AT25/AT$6*Mapping!$G$19+AU25/AU$6*Mapping!$G$20+AV25/AV$6*Mapping!$G$21+AW25/AW$6*Mapping!$G$22+AX25/AX$6*Mapping!$G$23)/SUM(Mapping!$G$15:$G$23),"")</f>
        <v/>
      </c>
      <c r="BI25" s="64">
        <f>IFERROR((AP25/AP$6*Mapping!$H$15+AQ25/AQ$6*Mapping!$H$16+AR25/AR$6*Mapping!$H$17+AS25/AS$6*Mapping!$H$18+AT25/AT$6*Mapping!$H$19+AU25/AU$6*Mapping!$H$20+AV25/AV$6*Mapping!$H$21+AW25/AW$6*Mapping!$H$22+AX25/AX$6*Mapping!$H$23)/SUM(Mapping!$H$15:$H$23),"")</f>
        <v/>
      </c>
      <c r="BJ25" s="64">
        <f>IFERROR((AP25/AP$6*Mapping!$I$15+AQ25/AQ$6*Mapping!$I$16+AR25/AR$6*Mapping!$I$17+AS25/AS$6*Mapping!$I$18+AT25/AT$6*Mapping!$I$19+AU25/AU$6*Mapping!$I$20+AV25/AV$6*Mapping!$I$21+AW25/AW$6*Mapping!$I$22+AX25/AX$6*Mapping!$I$23)/SUM(Mapping!$I$15:$I$23),"")</f>
        <v/>
      </c>
      <c r="BK25" s="64">
        <f>IFERROR((AP25/AP$6*Mapping!$J$15+AQ25/AQ$6*Mapping!$J$16+AR25/AR$6*Mapping!$J$17+AS25/AS$6*Mapping!$J$18+AT25/AT$6*Mapping!$J$19+AU25/AU$6*Mapping!$J$20+AV25/AV$6*Mapping!$J$21+AW25/AW$6*Mapping!$J$22+AX25/AX$6*Mapping!$J$23)/SUM(Mapping!$J$15:$J$23),"")</f>
        <v/>
      </c>
      <c r="BL25" s="64">
        <f>IFERROR((AP25/AP$6*Mapping!$K$15+AQ25/AQ$6*Mapping!$K$16+AR25/AR$6*Mapping!$K$17+AS25/AS$6*Mapping!$K$18+AT25/AT$6*Mapping!$K$19+AU25/AU$6*Mapping!$K$20+AV25/AV$6*Mapping!$K$21+AW25/AW$6*Mapping!$K$22+AX25/AX$6*Mapping!$K$23)/SUM(Mapping!$K$15:$K$23),"")</f>
        <v/>
      </c>
      <c r="BM25" s="64">
        <f>IFERROR((AP25/AP$6*Mapping!$L$15+AQ25/AQ$6*Mapping!$L$16+AR25/AR$6*Mapping!$L$17+AS25/AS$6*Mapping!$L$18+AT25/AT$6*Mapping!$L$19+AU25/AU$6*Mapping!$L$20+AV25/AV$6*Mapping!$L$21+AW25/AW$6*Mapping!$L$22+AX25/AX$6*Mapping!$L$23)/SUM(Mapping!$L$15:$L$23),"")</f>
        <v/>
      </c>
      <c r="BN25" s="64">
        <f>IFERROR((AP25/AP$6*Mapping!$M$15+AQ25/AQ$6*Mapping!$M$16+AR25/AR$6*Mapping!$M$17+AS25/AS$6*Mapping!$M$18+AT25/AT$6*Mapping!$M$19+AU25/AU$6*Mapping!$M$20+AV25/AV$6*Mapping!$M$21+AW25/AW$6*Mapping!$M$22+AX25/AX$6*Mapping!$M$23)/SUM(Mapping!$M$15:$M$23),"")</f>
        <v/>
      </c>
      <c r="BO25" s="64">
        <f>IFERROR((AP25/AP$6*Mapping!$N$15+AQ25/AQ$6*Mapping!$N$16+AR25/AR$6*Mapping!$N$17+AS25/AS$6*Mapping!$N$18+AT25/AT$6*Mapping!$N$19+AU25/AU$6*Mapping!$N$20+AV25/AV$6*Mapping!$N$21+AW25/AW$6*Mapping!$N$22+AX25/AX$6*Mapping!$N$23)/SUM(Mapping!$N$15:$N$23),"")</f>
        <v/>
      </c>
      <c r="BP25" s="64">
        <f>IFERROR((AP25/AP$6*Mapping!$O$15+AQ25/AQ$6*Mapping!$O$16+AR25/AR$6*Mapping!$O$17+AS25/AS$6*Mapping!$O$18+AT25/AT$6*Mapping!$O$19+AU25/AU$6*Mapping!$O$20+AV25/AV$6*Mapping!$O$21+AW25/AW$6*Mapping!$O$22+AX25/AX$6*Mapping!$O$23)/SUM(Mapping!$O$15:$O$23),"")</f>
        <v/>
      </c>
      <c r="BQ25" s="64">
        <f>IFERROR((AP25/AP$6*Mapping!$P$15+AQ25/AQ$6*Mapping!$P$16+AR25/AR$6*Mapping!$P$17+AS25/AS$6*Mapping!$P$18+AT25/AT$6*Mapping!$P$19+AU25/AU$6*Mapping!$P$20+AV25/AV$6*Mapping!$P$21+AW25/AW$6*Mapping!$P$22+AX25/AX$6*Mapping!$P$23)/SUM(Mapping!$P$15:$P$23),"")</f>
        <v/>
      </c>
      <c r="BR25" s="65">
        <f>IF(BA25="","",BA25+N(AS25)/10000)</f>
        <v/>
      </c>
    </row>
    <row r="26" ht="30" customHeight="1">
      <c r="A26" s="28" t="n">
        <v>20</v>
      </c>
      <c r="B26" s="29" t="inlineStr">
        <is>
          <t>5th Sem - A</t>
        </is>
      </c>
      <c r="C26" s="29" t="n"/>
      <c r="D26" s="6" t="n"/>
      <c r="E26" s="6" t="n"/>
      <c r="F26" s="29" t="n"/>
      <c r="G26" s="29" t="n"/>
      <c r="H26" s="6" t="n"/>
      <c r="I26" s="29" t="n"/>
      <c r="J26" s="29" t="n"/>
      <c r="K26" s="29" t="n"/>
      <c r="L26" s="29" t="n"/>
      <c r="M26" s="29" t="n"/>
      <c r="N26" s="29" t="n"/>
      <c r="O26" s="29" t="n"/>
      <c r="P26" s="29" t="n"/>
      <c r="Q26" s="29" t="n"/>
      <c r="R26" s="29" t="n"/>
      <c r="S26" s="29" t="n"/>
      <c r="T26" s="29" t="n"/>
      <c r="U26" s="29" t="n"/>
      <c r="V26" s="29" t="n"/>
      <c r="W26" s="29" t="n"/>
      <c r="X26" s="29" t="n"/>
      <c r="Y26" s="29" t="n"/>
      <c r="Z26" s="29" t="n"/>
      <c r="AA26" s="29" t="n"/>
      <c r="AB26" s="29" t="n"/>
      <c r="AC26" s="29" t="n"/>
      <c r="AD26" s="29" t="n"/>
      <c r="AE26" s="29" t="n"/>
      <c r="AF26" s="29" t="n"/>
      <c r="AG26" s="29" t="n"/>
      <c r="AH26" s="29" t="n"/>
      <c r="AI26" s="29" t="n"/>
      <c r="AJ26" s="29" t="n"/>
      <c r="AK26" s="29" t="n"/>
      <c r="AL26" s="29" t="n"/>
      <c r="AM26" s="29" t="n"/>
      <c r="AN26" s="29" t="n"/>
      <c r="AO26" s="29" t="n"/>
      <c r="AP26" s="59">
        <f>IF(COUNT(I26,T26,AE26)=0,"",AVERAGE(I26,T26,AE26))</f>
        <v/>
      </c>
      <c r="AQ26" s="59">
        <f>IF(COUNT(J26,U26,AF26)=0,"",AVERAGE(J26,U26,AF26))</f>
        <v/>
      </c>
      <c r="AR26" s="59">
        <f>IF(COUNT(K26,V26,AG26)=0,"",AVERAGE(K26,V26,AG26))</f>
        <v/>
      </c>
      <c r="AS26" s="59">
        <f>IF(COUNT(L26,W26,AH26)=0,"",AVERAGE(L26,W26,AH26))</f>
        <v/>
      </c>
      <c r="AT26" s="59">
        <f>IF(COUNT(M26,X26,AI26)=0,"",AVERAGE(M26,X26,AI26))</f>
        <v/>
      </c>
      <c r="AU26" s="59">
        <f>IF(COUNT(N26,Y26,AJ26)=0,"",AVERAGE(N26,Y26,AJ26))</f>
        <v/>
      </c>
      <c r="AV26" s="59">
        <f>IF(COUNT(O26,Z26,AK26)=0,"",AVERAGE(O26,Z26,AK26))</f>
        <v/>
      </c>
      <c r="AW26" s="59">
        <f>IF(COUNT(P26,AA26,AL26)=0,"",AVERAGE(P26,AA26,AL26))</f>
        <v/>
      </c>
      <c r="AX26" s="59">
        <f>IF(COUNT(Q26,AB26,AM26)=0,"",AVERAGE(Q26,AB26,AM26))</f>
        <v/>
      </c>
      <c r="AY26" s="60">
        <f>IF(OR($F26="",COUNT(R26,AC26,AN26)=0),"",AVERAGE(R26,AC26,AN26))</f>
        <v/>
      </c>
      <c r="AZ26" s="60">
        <f>IF(OR($G26="",$G26=$F26,COUNT(S26,AD26,AO26)=0),"",AVERAGE(S26,AD26,AO26))</f>
        <v/>
      </c>
      <c r="BA26" s="61">
        <f>IF(COUNT(AP26:AX26)=0,"",SUM(AP26:AX26))</f>
        <v/>
      </c>
      <c r="BB26" s="62">
        <f>IF(BA26="","",BA26/BA$6)</f>
        <v/>
      </c>
      <c r="BC26" s="14">
        <f>IF(BR26="","",COUNTIF($BR$7:$BR$26,"&gt;"&amp;BR26)+COUNTIF($BR$7:BR26,BR26))</f>
        <v/>
      </c>
      <c r="BD26" s="63">
        <f>IF(BC26="","",IF(BC26&lt;=Mapping!$C$11,"Shortlisted","Not shortlisted"))</f>
        <v/>
      </c>
      <c r="BE26" s="64">
        <f>IFERROR((AP26/AP$6*Mapping!$D$15+AQ26/AQ$6*Mapping!$D$16+AR26/AR$6*Mapping!$D$17+AS26/AS$6*Mapping!$D$18+AT26/AT$6*Mapping!$D$19+AU26/AU$6*Mapping!$D$20+AV26/AV$6*Mapping!$D$21+AW26/AW$6*Mapping!$D$22+AX26/AX$6*Mapping!$D$23)/SUM(Mapping!$D$15:$D$23),"")</f>
        <v/>
      </c>
      <c r="BF26" s="64">
        <f>IFERROR((AP26/AP$6*Mapping!$E$15+AQ26/AQ$6*Mapping!$E$16+AR26/AR$6*Mapping!$E$17+AS26/AS$6*Mapping!$E$18+AT26/AT$6*Mapping!$E$19+AU26/AU$6*Mapping!$E$20+AV26/AV$6*Mapping!$E$21+AW26/AW$6*Mapping!$E$22+AX26/AX$6*Mapping!$E$23)/SUM(Mapping!$E$15:$E$23),"")</f>
        <v/>
      </c>
      <c r="BG26" s="64">
        <f>IFERROR((AP26/AP$6*Mapping!$F$15+AQ26/AQ$6*Mapping!$F$16+AR26/AR$6*Mapping!$F$17+AS26/AS$6*Mapping!$F$18+AT26/AT$6*Mapping!$F$19+AU26/AU$6*Mapping!$F$20+AV26/AV$6*Mapping!$F$21+AW26/AW$6*Mapping!$F$22+AX26/AX$6*Mapping!$F$23)/SUM(Mapping!$F$15:$F$23),"")</f>
        <v/>
      </c>
      <c r="BH26" s="64">
        <f>IFERROR((AP26/AP$6*Mapping!$G$15+AQ26/AQ$6*Mapping!$G$16+AR26/AR$6*Mapping!$G$17+AS26/AS$6*Mapping!$G$18+AT26/AT$6*Mapping!$G$19+AU26/AU$6*Mapping!$G$20+AV26/AV$6*Mapping!$G$21+AW26/AW$6*Mapping!$G$22+AX26/AX$6*Mapping!$G$23)/SUM(Mapping!$G$15:$G$23),"")</f>
        <v/>
      </c>
      <c r="BI26" s="64">
        <f>IFERROR((AP26/AP$6*Mapping!$H$15+AQ26/AQ$6*Mapping!$H$16+AR26/AR$6*Mapping!$H$17+AS26/AS$6*Mapping!$H$18+AT26/AT$6*Mapping!$H$19+AU26/AU$6*Mapping!$H$20+AV26/AV$6*Mapping!$H$21+AW26/AW$6*Mapping!$H$22+AX26/AX$6*Mapping!$H$23)/SUM(Mapping!$H$15:$H$23),"")</f>
        <v/>
      </c>
      <c r="BJ26" s="64">
        <f>IFERROR((AP26/AP$6*Mapping!$I$15+AQ26/AQ$6*Mapping!$I$16+AR26/AR$6*Mapping!$I$17+AS26/AS$6*Mapping!$I$18+AT26/AT$6*Mapping!$I$19+AU26/AU$6*Mapping!$I$20+AV26/AV$6*Mapping!$I$21+AW26/AW$6*Mapping!$I$22+AX26/AX$6*Mapping!$I$23)/SUM(Mapping!$I$15:$I$23),"")</f>
        <v/>
      </c>
      <c r="BK26" s="64">
        <f>IFERROR((AP26/AP$6*Mapping!$J$15+AQ26/AQ$6*Mapping!$J$16+AR26/AR$6*Mapping!$J$17+AS26/AS$6*Mapping!$J$18+AT26/AT$6*Mapping!$J$19+AU26/AU$6*Mapping!$J$20+AV26/AV$6*Mapping!$J$21+AW26/AW$6*Mapping!$J$22+AX26/AX$6*Mapping!$J$23)/SUM(Mapping!$J$15:$J$23),"")</f>
        <v/>
      </c>
      <c r="BL26" s="64">
        <f>IFERROR((AP26/AP$6*Mapping!$K$15+AQ26/AQ$6*Mapping!$K$16+AR26/AR$6*Mapping!$K$17+AS26/AS$6*Mapping!$K$18+AT26/AT$6*Mapping!$K$19+AU26/AU$6*Mapping!$K$20+AV26/AV$6*Mapping!$K$21+AW26/AW$6*Mapping!$K$22+AX26/AX$6*Mapping!$K$23)/SUM(Mapping!$K$15:$K$23),"")</f>
        <v/>
      </c>
      <c r="BM26" s="64">
        <f>IFERROR((AP26/AP$6*Mapping!$L$15+AQ26/AQ$6*Mapping!$L$16+AR26/AR$6*Mapping!$L$17+AS26/AS$6*Mapping!$L$18+AT26/AT$6*Mapping!$L$19+AU26/AU$6*Mapping!$L$20+AV26/AV$6*Mapping!$L$21+AW26/AW$6*Mapping!$L$22+AX26/AX$6*Mapping!$L$23)/SUM(Mapping!$L$15:$L$23),"")</f>
        <v/>
      </c>
      <c r="BN26" s="64">
        <f>IFERROR((AP26/AP$6*Mapping!$M$15+AQ26/AQ$6*Mapping!$M$16+AR26/AR$6*Mapping!$M$17+AS26/AS$6*Mapping!$M$18+AT26/AT$6*Mapping!$M$19+AU26/AU$6*Mapping!$M$20+AV26/AV$6*Mapping!$M$21+AW26/AW$6*Mapping!$M$22+AX26/AX$6*Mapping!$M$23)/SUM(Mapping!$M$15:$M$23),"")</f>
        <v/>
      </c>
      <c r="BO26" s="64">
        <f>IFERROR((AP26/AP$6*Mapping!$N$15+AQ26/AQ$6*Mapping!$N$16+AR26/AR$6*Mapping!$N$17+AS26/AS$6*Mapping!$N$18+AT26/AT$6*Mapping!$N$19+AU26/AU$6*Mapping!$N$20+AV26/AV$6*Mapping!$N$21+AW26/AW$6*Mapping!$N$22+AX26/AX$6*Mapping!$N$23)/SUM(Mapping!$N$15:$N$23),"")</f>
        <v/>
      </c>
      <c r="BP26" s="64">
        <f>IFERROR((AP26/AP$6*Mapping!$O$15+AQ26/AQ$6*Mapping!$O$16+AR26/AR$6*Mapping!$O$17+AS26/AS$6*Mapping!$O$18+AT26/AT$6*Mapping!$O$19+AU26/AU$6*Mapping!$O$20+AV26/AV$6*Mapping!$O$21+AW26/AW$6*Mapping!$O$22+AX26/AX$6*Mapping!$O$23)/SUM(Mapping!$O$15:$O$23),"")</f>
        <v/>
      </c>
      <c r="BQ26" s="64">
        <f>IFERROR((AP26/AP$6*Mapping!$P$15+AQ26/AQ$6*Mapping!$P$16+AR26/AR$6*Mapping!$P$17+AS26/AS$6*Mapping!$P$18+AT26/AT$6*Mapping!$P$19+AU26/AU$6*Mapping!$P$20+AV26/AV$6*Mapping!$P$21+AW26/AW$6*Mapping!$P$22+AX26/AX$6*Mapping!$P$23)/SUM(Mapping!$P$15:$P$23),"")</f>
        <v/>
      </c>
      <c r="BR26" s="65">
        <f>IF(BA26="","",BA26+N(AS26)/10000)</f>
        <v/>
      </c>
    </row>
    <row r="28">
      <c r="D28" s="13" t="inlineStr">
        <is>
          <t>Average score (marks)</t>
        </is>
      </c>
      <c r="AP28" s="59">
        <f>IFERROR(AVERAGE(AP$7:AP$26),"")</f>
        <v/>
      </c>
      <c r="AQ28" s="59">
        <f>IFERROR(AVERAGE(AQ$7:AQ$26),"")</f>
        <v/>
      </c>
      <c r="AR28" s="59">
        <f>IFERROR(AVERAGE(AR$7:AR$26),"")</f>
        <v/>
      </c>
      <c r="AS28" s="59">
        <f>IFERROR(AVERAGE(AS$7:AS$26),"")</f>
        <v/>
      </c>
      <c r="AT28" s="59">
        <f>IFERROR(AVERAGE(AT$7:AT$26),"")</f>
        <v/>
      </c>
      <c r="AU28" s="59">
        <f>IFERROR(AVERAGE(AU$7:AU$26),"")</f>
        <v/>
      </c>
      <c r="AV28" s="59">
        <f>IFERROR(AVERAGE(AV$7:AV$26),"")</f>
        <v/>
      </c>
      <c r="AW28" s="59">
        <f>IFERROR(AVERAGE(AW$7:AW$26),"")</f>
        <v/>
      </c>
      <c r="AX28" s="59">
        <f>IFERROR(AVERAGE(AX$7:AX$26),"")</f>
        <v/>
      </c>
      <c r="AY28" s="60">
        <f>IFERROR(AVERAGE(AY$7:AY$26),"")</f>
        <v/>
      </c>
      <c r="AZ28" s="60">
        <f>IFERROR(AVERAGE(AZ$7:AZ$26),"")</f>
        <v/>
      </c>
      <c r="BA28" s="61">
        <f>IFERROR(AVERAGE(BA$7:BA$26),"")</f>
        <v/>
      </c>
    </row>
    <row r="29">
      <c r="D29" s="13" t="inlineStr">
        <is>
          <t>Average score (% of max)</t>
        </is>
      </c>
      <c r="AP29" s="66">
        <f>IFERROR(AP28/AP$6,"")</f>
        <v/>
      </c>
      <c r="AQ29" s="66">
        <f>IFERROR(AQ28/AQ$6,"")</f>
        <v/>
      </c>
      <c r="AR29" s="66">
        <f>IFERROR(AR28/AR$6,"")</f>
        <v/>
      </c>
      <c r="AS29" s="66">
        <f>IFERROR(AS28/AS$6,"")</f>
        <v/>
      </c>
      <c r="AT29" s="66">
        <f>IFERROR(AT28/AT$6,"")</f>
        <v/>
      </c>
      <c r="AU29" s="66">
        <f>IFERROR(AU28/AU$6,"")</f>
        <v/>
      </c>
      <c r="AV29" s="66">
        <f>IFERROR(AV28/AV$6,"")</f>
        <v/>
      </c>
      <c r="AW29" s="66">
        <f>IFERROR(AW28/AW$6,"")</f>
        <v/>
      </c>
      <c r="AX29" s="66">
        <f>IFERROR(AX28/AX$6,"")</f>
        <v/>
      </c>
      <c r="BA29" s="15">
        <f>IFERROR(BA28/BA$6,"")</f>
        <v/>
      </c>
    </row>
    <row r="30">
      <c r="D30" s="13" t="inlineStr">
        <is>
          <t>Average attainment (%)</t>
        </is>
      </c>
      <c r="BE30" s="67">
        <f>IFERROR(AVERAGE(BE$7:BE$26),"")</f>
        <v/>
      </c>
      <c r="BF30" s="67">
        <f>IFERROR(AVERAGE(BF$7:BF$26),"")</f>
        <v/>
      </c>
      <c r="BG30" s="67">
        <f>IFERROR(AVERAGE(BG$7:BG$26),"")</f>
        <v/>
      </c>
      <c r="BH30" s="67">
        <f>IFERROR(AVERAGE(BH$7:BH$26),"")</f>
        <v/>
      </c>
      <c r="BI30" s="67">
        <f>IFERROR(AVERAGE(BI$7:BI$26),"")</f>
        <v/>
      </c>
      <c r="BJ30" s="67">
        <f>IFERROR(AVERAGE(BJ$7:BJ$26),"")</f>
        <v/>
      </c>
      <c r="BK30" s="67">
        <f>IFERROR(AVERAGE(BK$7:BK$26),"")</f>
        <v/>
      </c>
      <c r="BL30" s="67">
        <f>IFERROR(AVERAGE(BL$7:BL$26),"")</f>
        <v/>
      </c>
      <c r="BM30" s="67">
        <f>IFERROR(AVERAGE(BM$7:BM$26),"")</f>
        <v/>
      </c>
      <c r="BN30" s="67">
        <f>IFERROR(AVERAGE(BN$7:BN$26),"")</f>
        <v/>
      </c>
      <c r="BO30" s="67">
        <f>IFERROR(AVERAGE(BO$7:BO$26),"")</f>
        <v/>
      </c>
      <c r="BP30" s="67">
        <f>IFERROR(AVERAGE(BP$7:BP$26),"")</f>
        <v/>
      </c>
      <c r="BQ30" s="67">
        <f>IFERROR(AVERAGE(BQ$7:BQ$26),"")</f>
        <v/>
      </c>
    </row>
    <row r="31">
      <c r="D31" s="13" t="inlineStr">
        <is>
          <t>% of teams at/above target</t>
        </is>
      </c>
      <c r="BE31" s="67">
        <f>IFERROR(COUNTIF(BE$7:BE$26,"&gt;="&amp;Mapping!$C$7)/COUNT(BE$7:BE$26),"")</f>
        <v/>
      </c>
      <c r="BF31" s="67">
        <f>IFERROR(COUNTIF(BF$7:BF$26,"&gt;="&amp;Mapping!$C$7)/COUNT(BF$7:BF$26),"")</f>
        <v/>
      </c>
      <c r="BG31" s="67">
        <f>IFERROR(COUNTIF(BG$7:BG$26,"&gt;="&amp;Mapping!$C$7)/COUNT(BG$7:BG$26),"")</f>
        <v/>
      </c>
      <c r="BH31" s="67">
        <f>IFERROR(COUNTIF(BH$7:BH$26,"&gt;="&amp;Mapping!$C$7)/COUNT(BH$7:BH$26),"")</f>
        <v/>
      </c>
      <c r="BI31" s="67">
        <f>IFERROR(COUNTIF(BI$7:BI$26,"&gt;="&amp;Mapping!$C$7)/COUNT(BI$7:BI$26),"")</f>
        <v/>
      </c>
      <c r="BJ31" s="67">
        <f>IFERROR(COUNTIF(BJ$7:BJ$26,"&gt;="&amp;Mapping!$C$7)/COUNT(BJ$7:BJ$26),"")</f>
        <v/>
      </c>
      <c r="BK31" s="67">
        <f>IFERROR(COUNTIF(BK$7:BK$26,"&gt;="&amp;Mapping!$C$7)/COUNT(BK$7:BK$26),"")</f>
        <v/>
      </c>
      <c r="BL31" s="67">
        <f>IFERROR(COUNTIF(BL$7:BL$26,"&gt;="&amp;Mapping!$C$7)/COUNT(BL$7:BL$26),"")</f>
        <v/>
      </c>
      <c r="BM31" s="67">
        <f>IFERROR(COUNTIF(BM$7:BM$26,"&gt;="&amp;Mapping!$C$7)/COUNT(BM$7:BM$26),"")</f>
        <v/>
      </c>
      <c r="BN31" s="67">
        <f>IFERROR(COUNTIF(BN$7:BN$26,"&gt;="&amp;Mapping!$C$7)/COUNT(BN$7:BN$26),"")</f>
        <v/>
      </c>
      <c r="BO31" s="67">
        <f>IFERROR(COUNTIF(BO$7:BO$26,"&gt;="&amp;Mapping!$C$7)/COUNT(BO$7:BO$26),"")</f>
        <v/>
      </c>
      <c r="BP31" s="67">
        <f>IFERROR(COUNTIF(BP$7:BP$26,"&gt;="&amp;Mapping!$C$7)/COUNT(BP$7:BP$26),"")</f>
        <v/>
      </c>
      <c r="BQ31" s="67">
        <f>IFERROR(COUNTIF(BQ$7:BQ$26,"&gt;="&amp;Mapping!$C$7)/COUNT(BQ$7:BQ$26),"")</f>
        <v/>
      </c>
    </row>
    <row r="32">
      <c r="D32" s="13" t="inlineStr">
        <is>
          <t>Attainment level (0–3)</t>
        </is>
      </c>
      <c r="BE32" s="68">
        <f>IF(BE31="","",IF(BE31&gt;=Mapping!$C$8,3,IF(BE31&gt;=Mapping!$C$9,2,IF(BE31&gt;=Mapping!$C$10,1,0))))</f>
        <v/>
      </c>
      <c r="BF32" s="68">
        <f>IF(BF31="","",IF(BF31&gt;=Mapping!$C$8,3,IF(BF31&gt;=Mapping!$C$9,2,IF(BF31&gt;=Mapping!$C$10,1,0))))</f>
        <v/>
      </c>
      <c r="BG32" s="68">
        <f>IF(BG31="","",IF(BG31&gt;=Mapping!$C$8,3,IF(BG31&gt;=Mapping!$C$9,2,IF(BG31&gt;=Mapping!$C$10,1,0))))</f>
        <v/>
      </c>
      <c r="BH32" s="68">
        <f>IF(BH31="","",IF(BH31&gt;=Mapping!$C$8,3,IF(BH31&gt;=Mapping!$C$9,2,IF(BH31&gt;=Mapping!$C$10,1,0))))</f>
        <v/>
      </c>
      <c r="BI32" s="68">
        <f>IF(BI31="","",IF(BI31&gt;=Mapping!$C$8,3,IF(BI31&gt;=Mapping!$C$9,2,IF(BI31&gt;=Mapping!$C$10,1,0))))</f>
        <v/>
      </c>
      <c r="BJ32" s="68">
        <f>IF(BJ31="","",IF(BJ31&gt;=Mapping!$C$8,3,IF(BJ31&gt;=Mapping!$C$9,2,IF(BJ31&gt;=Mapping!$C$10,1,0))))</f>
        <v/>
      </c>
      <c r="BK32" s="68">
        <f>IF(BK31="","",IF(BK31&gt;=Mapping!$C$8,3,IF(BK31&gt;=Mapping!$C$9,2,IF(BK31&gt;=Mapping!$C$10,1,0))))</f>
        <v/>
      </c>
      <c r="BL32" s="68">
        <f>IF(BL31="","",IF(BL31&gt;=Mapping!$C$8,3,IF(BL31&gt;=Mapping!$C$9,2,IF(BL31&gt;=Mapping!$C$10,1,0))))</f>
        <v/>
      </c>
      <c r="BM32" s="68">
        <f>IF(BM31="","",IF(BM31&gt;=Mapping!$C$8,3,IF(BM31&gt;=Mapping!$C$9,2,IF(BM31&gt;=Mapping!$C$10,1,0))))</f>
        <v/>
      </c>
      <c r="BN32" s="68">
        <f>IF(BN31="","",IF(BN31&gt;=Mapping!$C$8,3,IF(BN31&gt;=Mapping!$C$9,2,IF(BN31&gt;=Mapping!$C$10,1,0))))</f>
        <v/>
      </c>
      <c r="BO32" s="68">
        <f>IF(BO31="","",IF(BO31&gt;=Mapping!$C$8,3,IF(BO31&gt;=Mapping!$C$9,2,IF(BO31&gt;=Mapping!$C$10,1,0))))</f>
        <v/>
      </c>
      <c r="BP32" s="68">
        <f>IF(BP31="","",IF(BP31&gt;=Mapping!$C$8,3,IF(BP31&gt;=Mapping!$C$9,2,IF(BP31&gt;=Mapping!$C$10,1,0))))</f>
        <v/>
      </c>
      <c r="BQ32" s="68">
        <f>IF(BQ31="","",IF(BQ31&gt;=Mapping!$C$8,3,IF(BQ31&gt;=Mapping!$C$9,2,IF(BQ31&gt;=Mapping!$C$10,1,0))))</f>
        <v/>
      </c>
    </row>
    <row r="33">
      <c r="D33" s="13" t="inlineStr">
        <is>
          <t>Teams evaluated</t>
        </is>
      </c>
      <c r="E33" s="20">
        <f>COUNT(BA$7:BA$26)</f>
        <v/>
      </c>
    </row>
    <row r="34">
      <c r="D34" s="69" t="inlineStr">
        <is>
          <t>SDG attainment: average contribution strength (0–3)</t>
        </is>
      </c>
      <c r="E34" s="60">
        <f>IFERROR((SUM(AY$7:AY$26)+SUM(AZ$7:AZ$26))/(COUNT(AY$7:AY$26)+COUNT(AZ$7:AZ$26)),"")</f>
        <v/>
      </c>
    </row>
    <row r="35">
      <c r="D35" s="69" t="inlineStr">
        <is>
          <t>SDG: % of rated team–SDG pairs at/above target strength</t>
        </is>
      </c>
      <c r="E35" s="70">
        <f>IFERROR((COUNTIF(AY$7:AY$26,"&gt;="&amp;Mapping!$C$12)+COUNTIF(AZ$7:AZ$26,"&gt;="&amp;Mapping!$C$12))/(COUNT(AY$7:AY$26)+COUNT(AZ$7:AZ$26)),"")</f>
        <v/>
      </c>
    </row>
    <row r="36">
      <c r="D36" s="69" t="inlineStr">
        <is>
          <t>SDG: team–SDG pairs rated</t>
        </is>
      </c>
      <c r="E36" s="71">
        <f>COUNT(AY$7:AY$26)+COUNT(AZ$7:AZ$26)</f>
        <v/>
      </c>
    </row>
    <row r="37">
      <c r="D37" s="69" t="inlineStr">
        <is>
          <t>SDG: team–SDG pairs claimed</t>
        </is>
      </c>
      <c r="E37" s="71">
        <f>COUNTIF($F$7:$F$26,"?*")+SUMPRODUCT(--($G$7:$G$26&lt;&gt;""),--($G$7:$G$26&lt;&gt;$F$7:$F$26))</f>
        <v/>
      </c>
    </row>
    <row r="39">
      <c r="D39" s="16" t="inlineStr">
        <is>
          <t>SDG goal-wise attainment (from contribution-strength ratings)</t>
        </is>
      </c>
    </row>
    <row r="40" ht="45" customHeight="1">
      <c r="D40" s="17" t="inlineStr">
        <is>
          <t>Sustainable Development Goal</t>
        </is>
      </c>
      <c r="E40" s="17" t="inlineStr">
        <is>
          <t>Solutions (teams claiming the goal)</t>
        </is>
      </c>
      <c r="F40" s="17" t="inlineStr">
        <is>
          <t>Solutions rated</t>
        </is>
      </c>
      <c r="G40" s="17" t="inlineStr">
        <is>
          <t>Avg contribution strength (0–3)</t>
        </is>
      </c>
      <c r="H40" s="17" t="inlineStr">
        <is>
          <t>% rated at/above target strength</t>
        </is>
      </c>
    </row>
    <row r="41">
      <c r="D41" s="5">
        <f>'SDG List'!A2</f>
        <v/>
      </c>
      <c r="E41" s="11">
        <f>COUNTIF($F$7:$F$26,$D41)+COUNTIF($G$7:$G$26,$D41)-COUNTIFS($F$7:$F$26,$D41,$G$7:$G$26,$D41)</f>
        <v/>
      </c>
      <c r="F41" s="11">
        <f>COUNTIFS($F$7:$F$26,$D41,AY$7:AY$26,"&gt;=0")+COUNTIFS($G$7:$G$26,$D41,AZ$7:AZ$26,"&gt;=0")</f>
        <v/>
      </c>
      <c r="G41" s="18">
        <f>IFERROR((SUMIF($F$7:$F$26,$D41,AY$7:AY$26)+SUMIF($G$7:$G$26,$D41,AZ$7:AZ$26))/F41,"")</f>
        <v/>
      </c>
      <c r="H41" s="12">
        <f>IFERROR((COUNTIFS($F$7:$F$26,$D41,AY$7:AY$26,"&gt;="&amp;Mapping!$C$12)+COUNTIFS($G$7:$G$26,$D41,AZ$7:AZ$26,"&gt;="&amp;Mapping!$C$12))/F41,"")</f>
        <v/>
      </c>
    </row>
    <row r="42">
      <c r="D42" s="5">
        <f>'SDG List'!A3</f>
        <v/>
      </c>
      <c r="E42" s="11">
        <f>COUNTIF($F$7:$F$26,$D42)+COUNTIF($G$7:$G$26,$D42)-COUNTIFS($F$7:$F$26,$D42,$G$7:$G$26,$D42)</f>
        <v/>
      </c>
      <c r="F42" s="11">
        <f>COUNTIFS($F$7:$F$26,$D42,AY$7:AY$26,"&gt;=0")+COUNTIFS($G$7:$G$26,$D42,AZ$7:AZ$26,"&gt;=0")</f>
        <v/>
      </c>
      <c r="G42" s="18">
        <f>IFERROR((SUMIF($F$7:$F$26,$D42,AY$7:AY$26)+SUMIF($G$7:$G$26,$D42,AZ$7:AZ$26))/F42,"")</f>
        <v/>
      </c>
      <c r="H42" s="12">
        <f>IFERROR((COUNTIFS($F$7:$F$26,$D42,AY$7:AY$26,"&gt;="&amp;Mapping!$C$12)+COUNTIFS($G$7:$G$26,$D42,AZ$7:AZ$26,"&gt;="&amp;Mapping!$C$12))/F42,"")</f>
        <v/>
      </c>
    </row>
    <row r="43">
      <c r="D43" s="5">
        <f>'SDG List'!A4</f>
        <v/>
      </c>
      <c r="E43" s="11">
        <f>COUNTIF($F$7:$F$26,$D43)+COUNTIF($G$7:$G$26,$D43)-COUNTIFS($F$7:$F$26,$D43,$G$7:$G$26,$D43)</f>
        <v/>
      </c>
      <c r="F43" s="11">
        <f>COUNTIFS($F$7:$F$26,$D43,AY$7:AY$26,"&gt;=0")+COUNTIFS($G$7:$G$26,$D43,AZ$7:AZ$26,"&gt;=0")</f>
        <v/>
      </c>
      <c r="G43" s="18">
        <f>IFERROR((SUMIF($F$7:$F$26,$D43,AY$7:AY$26)+SUMIF($G$7:$G$26,$D43,AZ$7:AZ$26))/F43,"")</f>
        <v/>
      </c>
      <c r="H43" s="12">
        <f>IFERROR((COUNTIFS($F$7:$F$26,$D43,AY$7:AY$26,"&gt;="&amp;Mapping!$C$12)+COUNTIFS($G$7:$G$26,$D43,AZ$7:AZ$26,"&gt;="&amp;Mapping!$C$12))/F43,"")</f>
        <v/>
      </c>
    </row>
    <row r="44">
      <c r="D44" s="5">
        <f>'SDG List'!A5</f>
        <v/>
      </c>
      <c r="E44" s="11">
        <f>COUNTIF($F$7:$F$26,$D44)+COUNTIF($G$7:$G$26,$D44)-COUNTIFS($F$7:$F$26,$D44,$G$7:$G$26,$D44)</f>
        <v/>
      </c>
      <c r="F44" s="11">
        <f>COUNTIFS($F$7:$F$26,$D44,AY$7:AY$26,"&gt;=0")+COUNTIFS($G$7:$G$26,$D44,AZ$7:AZ$26,"&gt;=0")</f>
        <v/>
      </c>
      <c r="G44" s="18">
        <f>IFERROR((SUMIF($F$7:$F$26,$D44,AY$7:AY$26)+SUMIF($G$7:$G$26,$D44,AZ$7:AZ$26))/F44,"")</f>
        <v/>
      </c>
      <c r="H44" s="12">
        <f>IFERROR((COUNTIFS($F$7:$F$26,$D44,AY$7:AY$26,"&gt;="&amp;Mapping!$C$12)+COUNTIFS($G$7:$G$26,$D44,AZ$7:AZ$26,"&gt;="&amp;Mapping!$C$12))/F44,"")</f>
        <v/>
      </c>
    </row>
    <row r="45">
      <c r="D45" s="5">
        <f>'SDG List'!A6</f>
        <v/>
      </c>
      <c r="E45" s="11">
        <f>COUNTIF($F$7:$F$26,$D45)+COUNTIF($G$7:$G$26,$D45)-COUNTIFS($F$7:$F$26,$D45,$G$7:$G$26,$D45)</f>
        <v/>
      </c>
      <c r="F45" s="11">
        <f>COUNTIFS($F$7:$F$26,$D45,AY$7:AY$26,"&gt;=0")+COUNTIFS($G$7:$G$26,$D45,AZ$7:AZ$26,"&gt;=0")</f>
        <v/>
      </c>
      <c r="G45" s="18">
        <f>IFERROR((SUMIF($F$7:$F$26,$D45,AY$7:AY$26)+SUMIF($G$7:$G$26,$D45,AZ$7:AZ$26))/F45,"")</f>
        <v/>
      </c>
      <c r="H45" s="12">
        <f>IFERROR((COUNTIFS($F$7:$F$26,$D45,AY$7:AY$26,"&gt;="&amp;Mapping!$C$12)+COUNTIFS($G$7:$G$26,$D45,AZ$7:AZ$26,"&gt;="&amp;Mapping!$C$12))/F45,"")</f>
        <v/>
      </c>
    </row>
    <row r="46">
      <c r="D46" s="5">
        <f>'SDG List'!A7</f>
        <v/>
      </c>
      <c r="E46" s="11">
        <f>COUNTIF($F$7:$F$26,$D46)+COUNTIF($G$7:$G$26,$D46)-COUNTIFS($F$7:$F$26,$D46,$G$7:$G$26,$D46)</f>
        <v/>
      </c>
      <c r="F46" s="11">
        <f>COUNTIFS($F$7:$F$26,$D46,AY$7:AY$26,"&gt;=0")+COUNTIFS($G$7:$G$26,$D46,AZ$7:AZ$26,"&gt;=0")</f>
        <v/>
      </c>
      <c r="G46" s="18">
        <f>IFERROR((SUMIF($F$7:$F$26,$D46,AY$7:AY$26)+SUMIF($G$7:$G$26,$D46,AZ$7:AZ$26))/F46,"")</f>
        <v/>
      </c>
      <c r="H46" s="12">
        <f>IFERROR((COUNTIFS($F$7:$F$26,$D46,AY$7:AY$26,"&gt;="&amp;Mapping!$C$12)+COUNTIFS($G$7:$G$26,$D46,AZ$7:AZ$26,"&gt;="&amp;Mapping!$C$12))/F46,"")</f>
        <v/>
      </c>
    </row>
    <row r="47">
      <c r="D47" s="5">
        <f>'SDG List'!A8</f>
        <v/>
      </c>
      <c r="E47" s="11">
        <f>COUNTIF($F$7:$F$26,$D47)+COUNTIF($G$7:$G$26,$D47)-COUNTIFS($F$7:$F$26,$D47,$G$7:$G$26,$D47)</f>
        <v/>
      </c>
      <c r="F47" s="11">
        <f>COUNTIFS($F$7:$F$26,$D47,AY$7:AY$26,"&gt;=0")+COUNTIFS($G$7:$G$26,$D47,AZ$7:AZ$26,"&gt;=0")</f>
        <v/>
      </c>
      <c r="G47" s="18">
        <f>IFERROR((SUMIF($F$7:$F$26,$D47,AY$7:AY$26)+SUMIF($G$7:$G$26,$D47,AZ$7:AZ$26))/F47,"")</f>
        <v/>
      </c>
      <c r="H47" s="12">
        <f>IFERROR((COUNTIFS($F$7:$F$26,$D47,AY$7:AY$26,"&gt;="&amp;Mapping!$C$12)+COUNTIFS($G$7:$G$26,$D47,AZ$7:AZ$26,"&gt;="&amp;Mapping!$C$12))/F47,"")</f>
        <v/>
      </c>
    </row>
    <row r="48">
      <c r="D48" s="5">
        <f>'SDG List'!A9</f>
        <v/>
      </c>
      <c r="E48" s="11">
        <f>COUNTIF($F$7:$F$26,$D48)+COUNTIF($G$7:$G$26,$D48)-COUNTIFS($F$7:$F$26,$D48,$G$7:$G$26,$D48)</f>
        <v/>
      </c>
      <c r="F48" s="11">
        <f>COUNTIFS($F$7:$F$26,$D48,AY$7:AY$26,"&gt;=0")+COUNTIFS($G$7:$G$26,$D48,AZ$7:AZ$26,"&gt;=0")</f>
        <v/>
      </c>
      <c r="G48" s="18">
        <f>IFERROR((SUMIF($F$7:$F$26,$D48,AY$7:AY$26)+SUMIF($G$7:$G$26,$D48,AZ$7:AZ$26))/F48,"")</f>
        <v/>
      </c>
      <c r="H48" s="12">
        <f>IFERROR((COUNTIFS($F$7:$F$26,$D48,AY$7:AY$26,"&gt;="&amp;Mapping!$C$12)+COUNTIFS($G$7:$G$26,$D48,AZ$7:AZ$26,"&gt;="&amp;Mapping!$C$12))/F48,"")</f>
        <v/>
      </c>
    </row>
    <row r="49">
      <c r="D49" s="5">
        <f>'SDG List'!A10</f>
        <v/>
      </c>
      <c r="E49" s="11">
        <f>COUNTIF($F$7:$F$26,$D49)+COUNTIF($G$7:$G$26,$D49)-COUNTIFS($F$7:$F$26,$D49,$G$7:$G$26,$D49)</f>
        <v/>
      </c>
      <c r="F49" s="11">
        <f>COUNTIFS($F$7:$F$26,$D49,AY$7:AY$26,"&gt;=0")+COUNTIFS($G$7:$G$26,$D49,AZ$7:AZ$26,"&gt;=0")</f>
        <v/>
      </c>
      <c r="G49" s="18">
        <f>IFERROR((SUMIF($F$7:$F$26,$D49,AY$7:AY$26)+SUMIF($G$7:$G$26,$D49,AZ$7:AZ$26))/F49,"")</f>
        <v/>
      </c>
      <c r="H49" s="12">
        <f>IFERROR((COUNTIFS($F$7:$F$26,$D49,AY$7:AY$26,"&gt;="&amp;Mapping!$C$12)+COUNTIFS($G$7:$G$26,$D49,AZ$7:AZ$26,"&gt;="&amp;Mapping!$C$12))/F49,"")</f>
        <v/>
      </c>
    </row>
    <row r="50">
      <c r="D50" s="5">
        <f>'SDG List'!A11</f>
        <v/>
      </c>
      <c r="E50" s="11">
        <f>COUNTIF($F$7:$F$26,$D50)+COUNTIF($G$7:$G$26,$D50)-COUNTIFS($F$7:$F$26,$D50,$G$7:$G$26,$D50)</f>
        <v/>
      </c>
      <c r="F50" s="11">
        <f>COUNTIFS($F$7:$F$26,$D50,AY$7:AY$26,"&gt;=0")+COUNTIFS($G$7:$G$26,$D50,AZ$7:AZ$26,"&gt;=0")</f>
        <v/>
      </c>
      <c r="G50" s="18">
        <f>IFERROR((SUMIF($F$7:$F$26,$D50,AY$7:AY$26)+SUMIF($G$7:$G$26,$D50,AZ$7:AZ$26))/F50,"")</f>
        <v/>
      </c>
      <c r="H50" s="12">
        <f>IFERROR((COUNTIFS($F$7:$F$26,$D50,AY$7:AY$26,"&gt;="&amp;Mapping!$C$12)+COUNTIFS($G$7:$G$26,$D50,AZ$7:AZ$26,"&gt;="&amp;Mapping!$C$12))/F50,"")</f>
        <v/>
      </c>
    </row>
    <row r="51">
      <c r="D51" s="5">
        <f>'SDG List'!A12</f>
        <v/>
      </c>
      <c r="E51" s="11">
        <f>COUNTIF($F$7:$F$26,$D51)+COUNTIF($G$7:$G$26,$D51)-COUNTIFS($F$7:$F$26,$D51,$G$7:$G$26,$D51)</f>
        <v/>
      </c>
      <c r="F51" s="11">
        <f>COUNTIFS($F$7:$F$26,$D51,AY$7:AY$26,"&gt;=0")+COUNTIFS($G$7:$G$26,$D51,AZ$7:AZ$26,"&gt;=0")</f>
        <v/>
      </c>
      <c r="G51" s="18">
        <f>IFERROR((SUMIF($F$7:$F$26,$D51,AY$7:AY$26)+SUMIF($G$7:$G$26,$D51,AZ$7:AZ$26))/F51,"")</f>
        <v/>
      </c>
      <c r="H51" s="12">
        <f>IFERROR((COUNTIFS($F$7:$F$26,$D51,AY$7:AY$26,"&gt;="&amp;Mapping!$C$12)+COUNTIFS($G$7:$G$26,$D51,AZ$7:AZ$26,"&gt;="&amp;Mapping!$C$12))/F51,"")</f>
        <v/>
      </c>
    </row>
    <row r="52">
      <c r="D52" s="5">
        <f>'SDG List'!A13</f>
        <v/>
      </c>
      <c r="E52" s="11">
        <f>COUNTIF($F$7:$F$26,$D52)+COUNTIF($G$7:$G$26,$D52)-COUNTIFS($F$7:$F$26,$D52,$G$7:$G$26,$D52)</f>
        <v/>
      </c>
      <c r="F52" s="11">
        <f>COUNTIFS($F$7:$F$26,$D52,AY$7:AY$26,"&gt;=0")+COUNTIFS($G$7:$G$26,$D52,AZ$7:AZ$26,"&gt;=0")</f>
        <v/>
      </c>
      <c r="G52" s="18">
        <f>IFERROR((SUMIF($F$7:$F$26,$D52,AY$7:AY$26)+SUMIF($G$7:$G$26,$D52,AZ$7:AZ$26))/F52,"")</f>
        <v/>
      </c>
      <c r="H52" s="12">
        <f>IFERROR((COUNTIFS($F$7:$F$26,$D52,AY$7:AY$26,"&gt;="&amp;Mapping!$C$12)+COUNTIFS($G$7:$G$26,$D52,AZ$7:AZ$26,"&gt;="&amp;Mapping!$C$12))/F52,"")</f>
        <v/>
      </c>
    </row>
    <row r="53">
      <c r="D53" s="5">
        <f>'SDG List'!A14</f>
        <v/>
      </c>
      <c r="E53" s="11">
        <f>COUNTIF($F$7:$F$26,$D53)+COUNTIF($G$7:$G$26,$D53)-COUNTIFS($F$7:$F$26,$D53,$G$7:$G$26,$D53)</f>
        <v/>
      </c>
      <c r="F53" s="11">
        <f>COUNTIFS($F$7:$F$26,$D53,AY$7:AY$26,"&gt;=0")+COUNTIFS($G$7:$G$26,$D53,AZ$7:AZ$26,"&gt;=0")</f>
        <v/>
      </c>
      <c r="G53" s="18">
        <f>IFERROR((SUMIF($F$7:$F$26,$D53,AY$7:AY$26)+SUMIF($G$7:$G$26,$D53,AZ$7:AZ$26))/F53,"")</f>
        <v/>
      </c>
      <c r="H53" s="12">
        <f>IFERROR((COUNTIFS($F$7:$F$26,$D53,AY$7:AY$26,"&gt;="&amp;Mapping!$C$12)+COUNTIFS($G$7:$G$26,$D53,AZ$7:AZ$26,"&gt;="&amp;Mapping!$C$12))/F53,"")</f>
        <v/>
      </c>
    </row>
    <row r="54">
      <c r="D54" s="5">
        <f>'SDG List'!A15</f>
        <v/>
      </c>
      <c r="E54" s="11">
        <f>COUNTIF($F$7:$F$26,$D54)+COUNTIF($G$7:$G$26,$D54)-COUNTIFS($F$7:$F$26,$D54,$G$7:$G$26,$D54)</f>
        <v/>
      </c>
      <c r="F54" s="11">
        <f>COUNTIFS($F$7:$F$26,$D54,AY$7:AY$26,"&gt;=0")+COUNTIFS($G$7:$G$26,$D54,AZ$7:AZ$26,"&gt;=0")</f>
        <v/>
      </c>
      <c r="G54" s="18">
        <f>IFERROR((SUMIF($F$7:$F$26,$D54,AY$7:AY$26)+SUMIF($G$7:$G$26,$D54,AZ$7:AZ$26))/F54,"")</f>
        <v/>
      </c>
      <c r="H54" s="12">
        <f>IFERROR((COUNTIFS($F$7:$F$26,$D54,AY$7:AY$26,"&gt;="&amp;Mapping!$C$12)+COUNTIFS($G$7:$G$26,$D54,AZ$7:AZ$26,"&gt;="&amp;Mapping!$C$12))/F54,"")</f>
        <v/>
      </c>
    </row>
    <row r="55">
      <c r="D55" s="5">
        <f>'SDG List'!A16</f>
        <v/>
      </c>
      <c r="E55" s="11">
        <f>COUNTIF($F$7:$F$26,$D55)+COUNTIF($G$7:$G$26,$D55)-COUNTIFS($F$7:$F$26,$D55,$G$7:$G$26,$D55)</f>
        <v/>
      </c>
      <c r="F55" s="11">
        <f>COUNTIFS($F$7:$F$26,$D55,AY$7:AY$26,"&gt;=0")+COUNTIFS($G$7:$G$26,$D55,AZ$7:AZ$26,"&gt;=0")</f>
        <v/>
      </c>
      <c r="G55" s="18">
        <f>IFERROR((SUMIF($F$7:$F$26,$D55,AY$7:AY$26)+SUMIF($G$7:$G$26,$D55,AZ$7:AZ$26))/F55,"")</f>
        <v/>
      </c>
      <c r="H55" s="12">
        <f>IFERROR((COUNTIFS($F$7:$F$26,$D55,AY$7:AY$26,"&gt;="&amp;Mapping!$C$12)+COUNTIFS($G$7:$G$26,$D55,AZ$7:AZ$26,"&gt;="&amp;Mapping!$C$12))/F55,"")</f>
        <v/>
      </c>
    </row>
    <row r="56">
      <c r="D56" s="5">
        <f>'SDG List'!A17</f>
        <v/>
      </c>
      <c r="E56" s="11">
        <f>COUNTIF($F$7:$F$26,$D56)+COUNTIF($G$7:$G$26,$D56)-COUNTIFS($F$7:$F$26,$D56,$G$7:$G$26,$D56)</f>
        <v/>
      </c>
      <c r="F56" s="11">
        <f>COUNTIFS($F$7:$F$26,$D56,AY$7:AY$26,"&gt;=0")+COUNTIFS($G$7:$G$26,$D56,AZ$7:AZ$26,"&gt;=0")</f>
        <v/>
      </c>
      <c r="G56" s="18">
        <f>IFERROR((SUMIF($F$7:$F$26,$D56,AY$7:AY$26)+SUMIF($G$7:$G$26,$D56,AZ$7:AZ$26))/F56,"")</f>
        <v/>
      </c>
      <c r="H56" s="12">
        <f>IFERROR((COUNTIFS($F$7:$F$26,$D56,AY$7:AY$26,"&gt;="&amp;Mapping!$C$12)+COUNTIFS($G$7:$G$26,$D56,AZ$7:AZ$26,"&gt;="&amp;Mapping!$C$12))/F56,"")</f>
        <v/>
      </c>
    </row>
    <row r="57">
      <c r="D57" s="5">
        <f>'SDG List'!A18</f>
        <v/>
      </c>
      <c r="E57" s="11">
        <f>COUNTIF($F$7:$F$26,$D57)+COUNTIF($G$7:$G$26,$D57)-COUNTIFS($F$7:$F$26,$D57,$G$7:$G$26,$D57)</f>
        <v/>
      </c>
      <c r="F57" s="11">
        <f>COUNTIFS($F$7:$F$26,$D57,AY$7:AY$26,"&gt;=0")+COUNTIFS($G$7:$G$26,$D57,AZ$7:AZ$26,"&gt;=0")</f>
        <v/>
      </c>
      <c r="G57" s="18">
        <f>IFERROR((SUMIF($F$7:$F$26,$D57,AY$7:AY$26)+SUMIF($G$7:$G$26,$D57,AZ$7:AZ$26))/F57,"")</f>
        <v/>
      </c>
      <c r="H57" s="12">
        <f>IFERROR((COUNTIFS($F$7:$F$26,$D57,AY$7:AY$26,"&gt;="&amp;Mapping!$C$12)+COUNTIFS($G$7:$G$26,$D57,AZ$7:AZ$26,"&gt;="&amp;Mapping!$C$12))/F57,"")</f>
        <v/>
      </c>
    </row>
  </sheetData>
  <sheetProtection selectLockedCells="0" selectUnlockedCells="0" sheet="1" objects="0" insertRows="1" insertHyperlinks="1" autoFilter="1" scenarios="0" formatColumns="0" deleteColumns="1" insertColumns="1" pivotTables="1" deleteRows="1" formatCells="1" formatRows="0" sort="1"/>
  <mergeCells count="29">
    <mergeCell ref="E5:E6"/>
    <mergeCell ref="AP2:BB2"/>
    <mergeCell ref="AE4:AO4"/>
    <mergeCell ref="BA4:BD4"/>
    <mergeCell ref="F5:F6"/>
    <mergeCell ref="B2:C2"/>
    <mergeCell ref="AE3:AF3"/>
    <mergeCell ref="T4:AD4"/>
    <mergeCell ref="AY4:AZ4"/>
    <mergeCell ref="BP4:BQ4"/>
    <mergeCell ref="BE4:BO4"/>
    <mergeCell ref="A1:AO1"/>
    <mergeCell ref="AG3:AO3"/>
    <mergeCell ref="I3:J3"/>
    <mergeCell ref="A5:A6"/>
    <mergeCell ref="G5:G6"/>
    <mergeCell ref="AP4:AX4"/>
    <mergeCell ref="V3:AD3"/>
    <mergeCell ref="K3:S3"/>
    <mergeCell ref="B5:B6"/>
    <mergeCell ref="D5:D6"/>
    <mergeCell ref="A4:H4"/>
    <mergeCell ref="D39:H39"/>
    <mergeCell ref="H5:H6"/>
    <mergeCell ref="I4:S4"/>
    <mergeCell ref="AP1:BQ1"/>
    <mergeCell ref="T3:U3"/>
    <mergeCell ref="E2:H2"/>
    <mergeCell ref="C5:C6"/>
  </mergeCells>
  <conditionalFormatting sqref="BD7:BD26">
    <cfRule type="cellIs" priority="1" operator="equal" dxfId="4">
      <formula>"Shortlisted"</formula>
    </cfRule>
  </conditionalFormatting>
  <conditionalFormatting sqref="S7:S26">
    <cfRule type="expression" priority="2" dxfId="5">
      <formula>OR($G7="",$G7=$F7)</formula>
    </cfRule>
  </conditionalFormatting>
  <conditionalFormatting sqref="AD7:AD26">
    <cfRule type="expression" priority="3" dxfId="5">
      <formula>OR($G7="",$G7=$F7)</formula>
    </cfRule>
  </conditionalFormatting>
  <conditionalFormatting sqref="AO7:AO26">
    <cfRule type="expression" priority="4" dxfId="5">
      <formula>OR($G7="",$G7=$F7)</formula>
    </cfRule>
  </conditionalFormatting>
  <conditionalFormatting sqref="BE32:BQ32">
    <cfRule type="expression" priority="5" dxfId="0">
      <formula>AND(ISNUMBER(BE32),BE32=3)</formula>
    </cfRule>
    <cfRule type="expression" priority="6" dxfId="1">
      <formula>AND(ISNUMBER(BE32),BE32=2)</formula>
    </cfRule>
    <cfRule type="expression" priority="7" dxfId="2">
      <formula>AND(ISNUMBER(BE32),BE32=1)</formula>
    </cfRule>
    <cfRule type="expression" priority="8" dxfId="3">
      <formula>AND(ISNUMBER(BE32),BE32=0)</formula>
    </cfRule>
  </conditionalFormatting>
  <dataValidations count="31">
    <dataValidation sqref="I7:I26" showDropDown="0" showInputMessage="0" showErrorMessage="1" allowBlank="0" errorTitle="Score out of range" error="Enter a score between 0 and the criterion's Max Marks (row 6)." type="decimal" operator="between">
      <formula1>0</formula1>
      <formula2>$I$6</formula2>
    </dataValidation>
    <dataValidation sqref="J7:J26" showDropDown="0" showInputMessage="0" showErrorMessage="1" allowBlank="0" errorTitle="Score out of range" error="Enter a score between 0 and the criterion's Max Marks (row 6)." type="decimal" operator="between">
      <formula1>0</formula1>
      <formula2>$J$6</formula2>
    </dataValidation>
    <dataValidation sqref="K7:K26" showDropDown="0" showInputMessage="0" showErrorMessage="1" allowBlank="0" errorTitle="Score out of range" error="Enter a score between 0 and the criterion's Max Marks (row 6)." type="decimal" operator="between">
      <formula1>0</formula1>
      <formula2>$K$6</formula2>
    </dataValidation>
    <dataValidation sqref="L7:L26" showDropDown="0" showInputMessage="0" showErrorMessage="1" allowBlank="0" errorTitle="Score out of range" error="Enter a score between 0 and the criterion's Max Marks (row 6)." type="decimal" operator="between">
      <formula1>0</formula1>
      <formula2>$L$6</formula2>
    </dataValidation>
    <dataValidation sqref="M7:M26" showDropDown="0" showInputMessage="0" showErrorMessage="1" allowBlank="0" errorTitle="Score out of range" error="Enter a score between 0 and the criterion's Max Marks (row 6)." type="decimal" operator="between">
      <formula1>0</formula1>
      <formula2>$M$6</formula2>
    </dataValidation>
    <dataValidation sqref="N7:N26" showDropDown="0" showInputMessage="0" showErrorMessage="1" allowBlank="0" errorTitle="Score out of range" error="Enter a score between 0 and the criterion's Max Marks (row 6)." type="decimal" operator="between">
      <formula1>0</formula1>
      <formula2>$N$6</formula2>
    </dataValidation>
    <dataValidation sqref="O7:O26" showDropDown="0" showInputMessage="0" showErrorMessage="1" allowBlank="0" errorTitle="Score out of range" error="Enter a score between 0 and the criterion's Max Marks (row 6)." type="decimal" operator="between">
      <formula1>0</formula1>
      <formula2>$O$6</formula2>
    </dataValidation>
    <dataValidation sqref="P7:P26" showDropDown="0" showInputMessage="0" showErrorMessage="1" allowBlank="0" errorTitle="Score out of range" error="Enter a score between 0 and the criterion's Max Marks (row 6)." type="decimal" operator="between">
      <formula1>0</formula1>
      <formula2>$P$6</formula2>
    </dataValidation>
    <dataValidation sqref="Q7:Q26" showDropDown="0" showInputMessage="0" showErrorMessage="1" allowBlank="0" errorTitle="Score out of range" error="Enter a score between 0 and the criterion's Max Marks (row 6)." type="decimal" operator="between">
      <formula1>0</formula1>
      <formula2>$Q$6</formula2>
    </dataValidation>
    <dataValidation sqref="R7:S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T7:T26" showDropDown="0" showInputMessage="0" showErrorMessage="1" allowBlank="0" errorTitle="Score out of range" error="Enter a score between 0 and the criterion's Max Marks (row 6)." type="decimal" operator="between">
      <formula1>0</formula1>
      <formula2>$T$6</formula2>
    </dataValidation>
    <dataValidation sqref="U7:U26" showDropDown="0" showInputMessage="0" showErrorMessage="1" allowBlank="0" errorTitle="Score out of range" error="Enter a score between 0 and the criterion's Max Marks (row 6)." type="decimal" operator="between">
      <formula1>0</formula1>
      <formula2>$U$6</formula2>
    </dataValidation>
    <dataValidation sqref="V7:V26" showDropDown="0" showInputMessage="0" showErrorMessage="1" allowBlank="0" errorTitle="Score out of range" error="Enter a score between 0 and the criterion's Max Marks (row 6)." type="decimal" operator="between">
      <formula1>0</formula1>
      <formula2>$V$6</formula2>
    </dataValidation>
    <dataValidation sqref="W7:W26" showDropDown="0" showInputMessage="0" showErrorMessage="1" allowBlank="0" errorTitle="Score out of range" error="Enter a score between 0 and the criterion's Max Marks (row 6)." type="decimal" operator="between">
      <formula1>0</formula1>
      <formula2>$W$6</formula2>
    </dataValidation>
    <dataValidation sqref="X7:X26" showDropDown="0" showInputMessage="0" showErrorMessage="1" allowBlank="0" errorTitle="Score out of range" error="Enter a score between 0 and the criterion's Max Marks (row 6)." type="decimal" operator="between">
      <formula1>0</formula1>
      <formula2>$X$6</formula2>
    </dataValidation>
    <dataValidation sqref="Y7:Y26" showDropDown="0" showInputMessage="0" showErrorMessage="1" allowBlank="0" errorTitle="Score out of range" error="Enter a score between 0 and the criterion's Max Marks (row 6)." type="decimal" operator="between">
      <formula1>0</formula1>
      <formula2>$Y$6</formula2>
    </dataValidation>
    <dataValidation sqref="Z7:Z26" showDropDown="0" showInputMessage="0" showErrorMessage="1" allowBlank="0" errorTitle="Score out of range" error="Enter a score between 0 and the criterion's Max Marks (row 6)." type="decimal" operator="between">
      <formula1>0</formula1>
      <formula2>$Z$6</formula2>
    </dataValidation>
    <dataValidation sqref="AA7:AA26" showDropDown="0" showInputMessage="0" showErrorMessage="1" allowBlank="0" errorTitle="Score out of range" error="Enter a score between 0 and the criterion's Max Marks (row 6)." type="decimal" operator="between">
      <formula1>0</formula1>
      <formula2>$AA$6</formula2>
    </dataValidation>
    <dataValidation sqref="AB7:AB26" showDropDown="0" showInputMessage="0" showErrorMessage="1" allowBlank="0" errorTitle="Score out of range" error="Enter a score between 0 and the criterion's Max Marks (row 6)." type="decimal" operator="between">
      <formula1>0</formula1>
      <formula2>$AB$6</formula2>
    </dataValidation>
    <dataValidation sqref="AC7:AD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AE7:AE26" showDropDown="0" showInputMessage="0" showErrorMessage="1" allowBlank="0" errorTitle="Score out of range" error="Enter a score between 0 and the criterion's Max Marks (row 6)." type="decimal" operator="between">
      <formula1>0</formula1>
      <formula2>$AE$6</formula2>
    </dataValidation>
    <dataValidation sqref="AF7:AF26" showDropDown="0" showInputMessage="0" showErrorMessage="1" allowBlank="0" errorTitle="Score out of range" error="Enter a score between 0 and the criterion's Max Marks (row 6)." type="decimal" operator="between">
      <formula1>0</formula1>
      <formula2>$AF$6</formula2>
    </dataValidation>
    <dataValidation sqref="AG7:AG26" showDropDown="0" showInputMessage="0" showErrorMessage="1" allowBlank="0" errorTitle="Score out of range" error="Enter a score between 0 and the criterion's Max Marks (row 6)." type="decimal" operator="between">
      <formula1>0</formula1>
      <formula2>$AG$6</formula2>
    </dataValidation>
    <dataValidation sqref="AH7:AH26" showDropDown="0" showInputMessage="0" showErrorMessage="1" allowBlank="0" errorTitle="Score out of range" error="Enter a score between 0 and the criterion's Max Marks (row 6)." type="decimal" operator="between">
      <formula1>0</formula1>
      <formula2>$AH$6</formula2>
    </dataValidation>
    <dataValidation sqref="AI7:AI26" showDropDown="0" showInputMessage="0" showErrorMessage="1" allowBlank="0" errorTitle="Score out of range" error="Enter a score between 0 and the criterion's Max Marks (row 6)." type="decimal" operator="between">
      <formula1>0</formula1>
      <formula2>$AI$6</formula2>
    </dataValidation>
    <dataValidation sqref="AJ7:AJ26" showDropDown="0" showInputMessage="0" showErrorMessage="1" allowBlank="0" errorTitle="Score out of range" error="Enter a score between 0 and the criterion's Max Marks (row 6)." type="decimal" operator="between">
      <formula1>0</formula1>
      <formula2>$AJ$6</formula2>
    </dataValidation>
    <dataValidation sqref="AK7:AK26" showDropDown="0" showInputMessage="0" showErrorMessage="1" allowBlank="0" errorTitle="Score out of range" error="Enter a score between 0 and the criterion's Max Marks (row 6)." type="decimal" operator="between">
      <formula1>0</formula1>
      <formula2>$AK$6</formula2>
    </dataValidation>
    <dataValidation sqref="AL7:AL26" showDropDown="0" showInputMessage="0" showErrorMessage="1" allowBlank="0" errorTitle="Score out of range" error="Enter a score between 0 and the criterion's Max Marks (row 6)." type="decimal" operator="between">
      <formula1>0</formula1>
      <formula2>$AL$6</formula2>
    </dataValidation>
    <dataValidation sqref="AM7:AM26" showDropDown="0" showInputMessage="0" showErrorMessage="1" allowBlank="0" errorTitle="Score out of range" error="Enter a score between 0 and the criterion's Max Marks (row 6)." type="decimal" operator="between">
      <formula1>0</formula1>
      <formula2>$AM$6</formula2>
    </dataValidation>
    <dataValidation sqref="AN7:AO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F7:G26" showDropDown="0" showInputMessage="0" showErrorMessage="1" allowBlank="1" errorTitle="Pick an SDG" error="Select an SDG from the list." type="list">
      <formula1>SDGList</formula1>
    </dataValidation>
  </dataValidation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2E75B6"/>
    <outlinePr summaryBelow="1" summaryRight="1"/>
    <pageSetUpPr fitToPage="1"/>
  </sheetPr>
  <dimension ref="A1:BR57"/>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9" customWidth="1" min="3" max="3"/>
    <col width="30" customWidth="1" min="4" max="4"/>
    <col width="30" customWidth="1" min="5" max="5"/>
    <col width="26" customWidth="1" min="6" max="6"/>
    <col width="26" customWidth="1" min="7" max="7"/>
    <col width="34"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8.5" customWidth="1" min="17" max="17"/>
    <col width="8.5" customWidth="1" min="18" max="18"/>
    <col width="8.5" customWidth="1" min="19" max="19"/>
    <col width="8.5" customWidth="1" min="20" max="20"/>
    <col width="8.5" customWidth="1" min="21" max="21"/>
    <col width="8.5" customWidth="1" min="22" max="22"/>
    <col width="8.5" customWidth="1" min="23" max="23"/>
    <col width="8.5" customWidth="1" min="24" max="24"/>
    <col width="8.5" customWidth="1" min="25" max="25"/>
    <col width="8.5" customWidth="1" min="26" max="26"/>
    <col width="8.5" customWidth="1" min="27" max="27"/>
    <col width="8.5" customWidth="1" min="28" max="28"/>
    <col width="8.5" customWidth="1" min="29" max="29"/>
    <col width="8.5" customWidth="1" min="30" max="30"/>
    <col width="8.5" customWidth="1" min="31" max="31"/>
    <col width="8.5" customWidth="1" min="32" max="32"/>
    <col width="8.5" customWidth="1" min="33" max="33"/>
    <col width="8.5" customWidth="1" min="34" max="34"/>
    <col width="8.5" customWidth="1" min="35" max="35"/>
    <col width="8.5" customWidth="1" min="36" max="36"/>
    <col width="8.5" customWidth="1" min="37" max="37"/>
    <col width="8.5" customWidth="1" min="38" max="38"/>
    <col width="8.5" customWidth="1" min="39" max="39"/>
    <col width="8.5" customWidth="1" min="40" max="40"/>
    <col width="8.5" customWidth="1" min="41" max="41"/>
    <col width="8.5" customWidth="1" min="42" max="42"/>
    <col width="8.5" customWidth="1" min="43" max="43"/>
    <col width="8.5" customWidth="1" min="44" max="44"/>
    <col width="8.5" customWidth="1" min="45" max="45"/>
    <col width="8.5" customWidth="1" min="46" max="46"/>
    <col width="8.5" customWidth="1" min="47" max="47"/>
    <col width="8.5" customWidth="1" min="48" max="48"/>
    <col width="8.5" customWidth="1" min="49" max="49"/>
    <col width="8.5" customWidth="1" min="50" max="50"/>
    <col width="8.5" customWidth="1" min="51" max="51"/>
    <col width="8.5" customWidth="1" min="52" max="52"/>
    <col width="8.5" customWidth="1" min="53" max="53"/>
    <col width="8.5" customWidth="1" min="54" max="54"/>
    <col width="8.5" customWidth="1" min="55" max="55"/>
    <col width="14" customWidth="1" min="56" max="56"/>
    <col width="8.5" customWidth="1" min="57" max="57"/>
    <col width="8.5" customWidth="1" min="58" max="58"/>
    <col width="8.5" customWidth="1" min="59" max="59"/>
    <col width="8.5" customWidth="1" min="60" max="60"/>
    <col width="8.5" customWidth="1" min="61" max="61"/>
    <col width="8.5" customWidth="1" min="62" max="62"/>
    <col width="8.5" customWidth="1" min="63" max="63"/>
    <col width="8.5" customWidth="1" min="64" max="64"/>
    <col width="8.5" customWidth="1" min="65" max="65"/>
    <col width="8.5" customWidth="1" min="66" max="66"/>
    <col width="8.5" customWidth="1" min="67" max="67"/>
    <col width="8.5" customWidth="1" min="68" max="68"/>
    <col width="8.5" customWidth="1" min="69" max="69"/>
    <col hidden="1" width="13" customWidth="1" min="70" max="70"/>
  </cols>
  <sheetData>
    <row r="1">
      <c r="A1" s="26">
        <f>Mapping!$C$3&amp;" — 5th Semester Section B — Intra-Class Hackathon"</f>
        <v/>
      </c>
      <c r="AP1" s="9">
        <f>Mapping!$C$4&amp;" | Dept. of "&amp;Mapping!$C$5&amp;" | AY "&amp;Mapping!$C$6</f>
        <v/>
      </c>
    </row>
    <row r="2">
      <c r="A2" s="24" t="inlineStr">
        <is>
          <t>Date:</t>
        </is>
      </c>
      <c r="B2" s="29" t="n"/>
      <c r="C2" s="21" t="n"/>
      <c r="D2" s="32" t="inlineStr">
        <is>
          <t>Venue / Coordinator:</t>
        </is>
      </c>
      <c r="E2" s="6" t="n"/>
      <c r="F2" s="21" t="n"/>
      <c r="G2" s="21" t="n"/>
      <c r="H2" s="21" t="n"/>
      <c r="AP2" s="32">
        <f>"PO/PSO target per team: "&amp;TEXT(Mapping!$C$7,"0%")&amp;"  |  SDG reached at strength ≥ "&amp;Mapping!$C$12&amp;"  |  Shortlist: top "&amp;Mapping!$C$11</f>
        <v/>
      </c>
      <c r="AQ2" s="36" t="n"/>
      <c r="AR2" s="36" t="n"/>
      <c r="AS2" s="36" t="n"/>
      <c r="AT2" s="36" t="n"/>
      <c r="AU2" s="36" t="n"/>
      <c r="AV2" s="36" t="n"/>
      <c r="AW2" s="36" t="n"/>
      <c r="AX2" s="36" t="n"/>
      <c r="AY2" s="36" t="n"/>
      <c r="AZ2" s="36" t="n"/>
      <c r="BA2" s="36" t="n"/>
      <c r="BB2" s="4" t="n"/>
    </row>
    <row r="3">
      <c r="D3" s="32" t="inlineStr">
        <is>
          <t>Evaluator names →</t>
        </is>
      </c>
      <c r="I3" s="40" t="inlineStr">
        <is>
          <t>Evaluator 1:</t>
        </is>
      </c>
      <c r="J3" s="4" t="n"/>
      <c r="K3" s="6" t="n"/>
      <c r="L3" s="21" t="n"/>
      <c r="M3" s="21" t="n"/>
      <c r="N3" s="21" t="n"/>
      <c r="O3" s="21" t="n"/>
      <c r="P3" s="21" t="n"/>
      <c r="Q3" s="21" t="n"/>
      <c r="R3" s="21" t="n"/>
      <c r="S3" s="21" t="n"/>
      <c r="T3" s="41" t="inlineStr">
        <is>
          <t>Evaluator 2:</t>
        </is>
      </c>
      <c r="U3" s="4" t="n"/>
      <c r="V3" s="6" t="n"/>
      <c r="W3" s="21" t="n"/>
      <c r="X3" s="21" t="n"/>
      <c r="Y3" s="21" t="n"/>
      <c r="Z3" s="21" t="n"/>
      <c r="AA3" s="21" t="n"/>
      <c r="AB3" s="21" t="n"/>
      <c r="AC3" s="21" t="n"/>
      <c r="AD3" s="21" t="n"/>
      <c r="AE3" s="42" t="inlineStr">
        <is>
          <t>Evaluator 3:</t>
        </is>
      </c>
      <c r="AF3" s="4" t="n"/>
      <c r="AG3" s="6" t="n"/>
      <c r="AH3" s="21" t="n"/>
      <c r="AI3" s="21" t="n"/>
      <c r="AJ3" s="21" t="n"/>
      <c r="AK3" s="21" t="n"/>
      <c r="AL3" s="21" t="n"/>
      <c r="AM3" s="21" t="n"/>
      <c r="AN3" s="21" t="n"/>
      <c r="AO3" s="21" t="n"/>
    </row>
    <row r="4" ht="30" customHeight="1">
      <c r="A4" s="9" t="inlineStr">
        <is>
          <t>Team Details (Coordinator)</t>
        </is>
      </c>
      <c r="B4" s="21" t="n"/>
      <c r="C4" s="21" t="n"/>
      <c r="D4" s="21" t="n"/>
      <c r="E4" s="21" t="n"/>
      <c r="F4" s="21" t="n"/>
      <c r="G4" s="21" t="n"/>
      <c r="H4" s="21" t="n"/>
      <c r="I4" s="43" t="inlineStr">
        <is>
          <t>Evaluator 1 — rubric marks, then SDG contribution strength (0–3)</t>
        </is>
      </c>
      <c r="J4" s="21" t="n"/>
      <c r="K4" s="21" t="n"/>
      <c r="L4" s="21" t="n"/>
      <c r="M4" s="21" t="n"/>
      <c r="N4" s="21" t="n"/>
      <c r="O4" s="21" t="n"/>
      <c r="P4" s="21" t="n"/>
      <c r="Q4" s="21" t="n"/>
      <c r="R4" s="21" t="n"/>
      <c r="S4" s="21" t="n"/>
      <c r="T4" s="44" t="inlineStr">
        <is>
          <t>Evaluator 2 — rubric marks, then SDG contribution strength (0–3)</t>
        </is>
      </c>
      <c r="U4" s="21" t="n"/>
      <c r="V4" s="21" t="n"/>
      <c r="W4" s="21" t="n"/>
      <c r="X4" s="21" t="n"/>
      <c r="Y4" s="21" t="n"/>
      <c r="Z4" s="21" t="n"/>
      <c r="AA4" s="21" t="n"/>
      <c r="AB4" s="21" t="n"/>
      <c r="AC4" s="21" t="n"/>
      <c r="AD4" s="21" t="n"/>
      <c r="AE4" s="45" t="inlineStr">
        <is>
          <t>Evaluator 3 — rubric marks, then SDG contribution strength (0–3)</t>
        </is>
      </c>
      <c r="AF4" s="21" t="n"/>
      <c r="AG4" s="21" t="n"/>
      <c r="AH4" s="21" t="n"/>
      <c r="AI4" s="21" t="n"/>
      <c r="AJ4" s="21" t="n"/>
      <c r="AK4" s="21" t="n"/>
      <c r="AL4" s="21" t="n"/>
      <c r="AM4" s="21" t="n"/>
      <c r="AN4" s="21" t="n"/>
      <c r="AO4" s="21" t="n"/>
      <c r="AP4" s="46" t="inlineStr">
        <is>
          <t>Consolidated rubric score (average of evaluators)</t>
        </is>
      </c>
      <c r="AQ4" s="21" t="n"/>
      <c r="AR4" s="21" t="n"/>
      <c r="AS4" s="21" t="n"/>
      <c r="AT4" s="21" t="n"/>
      <c r="AU4" s="21" t="n"/>
      <c r="AV4" s="21" t="n"/>
      <c r="AW4" s="21" t="n"/>
      <c r="AX4" s="21" t="n"/>
      <c r="AY4" s="16" t="inlineStr">
        <is>
          <t>SDG strength (avg, 0–3)</t>
        </is>
      </c>
      <c r="AZ4" s="21" t="n"/>
      <c r="BA4" s="2" t="inlineStr">
        <is>
          <t>Result</t>
        </is>
      </c>
      <c r="BB4" s="21" t="n"/>
      <c r="BC4" s="21" t="n"/>
      <c r="BD4" s="21" t="n"/>
      <c r="BE4" s="9" t="inlineStr">
        <is>
          <t>Programme Outcome attainment per team (%)</t>
        </is>
      </c>
      <c r="BF4" s="21" t="n"/>
      <c r="BG4" s="21" t="n"/>
      <c r="BH4" s="21" t="n"/>
      <c r="BI4" s="21" t="n"/>
      <c r="BJ4" s="21" t="n"/>
      <c r="BK4" s="21" t="n"/>
      <c r="BL4" s="21" t="n"/>
      <c r="BM4" s="21" t="n"/>
      <c r="BN4" s="21" t="n"/>
      <c r="BO4" s="21" t="n"/>
      <c r="BP4" s="38" t="inlineStr">
        <is>
          <t>PSO attainment (%)</t>
        </is>
      </c>
      <c r="BQ4" s="21" t="n"/>
    </row>
    <row r="5" ht="48" customHeight="1">
      <c r="A5" s="9" t="inlineStr">
        <is>
          <t>S.No</t>
        </is>
      </c>
      <c r="B5" s="9" t="inlineStr">
        <is>
          <t>Section</t>
        </is>
      </c>
      <c r="C5" s="9" t="inlineStr">
        <is>
          <t>Team ID</t>
        </is>
      </c>
      <c r="D5" s="9" t="inlineStr">
        <is>
          <t>Team Name</t>
        </is>
      </c>
      <c r="E5" s="9" t="inlineStr">
        <is>
          <t>Team Members (USN / Name)</t>
        </is>
      </c>
      <c r="F5" s="9" t="inlineStr">
        <is>
          <t>Primary SDG</t>
        </is>
      </c>
      <c r="G5" s="9" t="inlineStr">
        <is>
          <t>Secondary SDG (optional)</t>
        </is>
      </c>
      <c r="H5" s="9" t="inlineStr">
        <is>
          <t>Problem Statement / Project Title</t>
        </is>
      </c>
      <c r="I5" s="47">
        <f>Rubric!C4</f>
        <v/>
      </c>
      <c r="J5" s="47">
        <f>Rubric!C5</f>
        <v/>
      </c>
      <c r="K5" s="47">
        <f>Rubric!C6</f>
        <v/>
      </c>
      <c r="L5" s="47">
        <f>Rubric!C7</f>
        <v/>
      </c>
      <c r="M5" s="47">
        <f>Rubric!C8</f>
        <v/>
      </c>
      <c r="N5" s="47">
        <f>Rubric!C9</f>
        <v/>
      </c>
      <c r="O5" s="47">
        <f>Rubric!C10</f>
        <v/>
      </c>
      <c r="P5" s="47">
        <f>Rubric!C11</f>
        <v/>
      </c>
      <c r="Q5" s="47">
        <f>Rubric!C12</f>
        <v/>
      </c>
      <c r="R5" s="48" t="inlineStr">
        <is>
          <t>Primary SDG strength</t>
        </is>
      </c>
      <c r="S5" s="48" t="inlineStr">
        <is>
          <t>Secondary SDG strength</t>
        </is>
      </c>
      <c r="T5" s="49">
        <f>Rubric!C4</f>
        <v/>
      </c>
      <c r="U5" s="49">
        <f>Rubric!C5</f>
        <v/>
      </c>
      <c r="V5" s="49">
        <f>Rubric!C6</f>
        <v/>
      </c>
      <c r="W5" s="49">
        <f>Rubric!C7</f>
        <v/>
      </c>
      <c r="X5" s="49">
        <f>Rubric!C8</f>
        <v/>
      </c>
      <c r="Y5" s="49">
        <f>Rubric!C9</f>
        <v/>
      </c>
      <c r="Z5" s="49">
        <f>Rubric!C10</f>
        <v/>
      </c>
      <c r="AA5" s="49">
        <f>Rubric!C11</f>
        <v/>
      </c>
      <c r="AB5" s="49">
        <f>Rubric!C12</f>
        <v/>
      </c>
      <c r="AC5" s="48" t="inlineStr">
        <is>
          <t>Primary SDG strength</t>
        </is>
      </c>
      <c r="AD5" s="48" t="inlineStr">
        <is>
          <t>Secondary SDG strength</t>
        </is>
      </c>
      <c r="AE5" s="50">
        <f>Rubric!C4</f>
        <v/>
      </c>
      <c r="AF5" s="50">
        <f>Rubric!C5</f>
        <v/>
      </c>
      <c r="AG5" s="50">
        <f>Rubric!C6</f>
        <v/>
      </c>
      <c r="AH5" s="50">
        <f>Rubric!C7</f>
        <v/>
      </c>
      <c r="AI5" s="50">
        <f>Rubric!C8</f>
        <v/>
      </c>
      <c r="AJ5" s="50">
        <f>Rubric!C9</f>
        <v/>
      </c>
      <c r="AK5" s="50">
        <f>Rubric!C10</f>
        <v/>
      </c>
      <c r="AL5" s="50">
        <f>Rubric!C11</f>
        <v/>
      </c>
      <c r="AM5" s="50">
        <f>Rubric!C12</f>
        <v/>
      </c>
      <c r="AN5" s="48" t="inlineStr">
        <is>
          <t>Primary SDG strength</t>
        </is>
      </c>
      <c r="AO5" s="48" t="inlineStr">
        <is>
          <t>Secondary SDG strength</t>
        </is>
      </c>
      <c r="AP5" s="51">
        <f>Rubric!C4</f>
        <v/>
      </c>
      <c r="AQ5" s="51">
        <f>Rubric!C5</f>
        <v/>
      </c>
      <c r="AR5" s="51">
        <f>Rubric!C6</f>
        <v/>
      </c>
      <c r="AS5" s="51">
        <f>Rubric!C7</f>
        <v/>
      </c>
      <c r="AT5" s="51">
        <f>Rubric!C8</f>
        <v/>
      </c>
      <c r="AU5" s="51">
        <f>Rubric!C9</f>
        <v/>
      </c>
      <c r="AV5" s="51">
        <f>Rubric!C10</f>
        <v/>
      </c>
      <c r="AW5" s="51">
        <f>Rubric!C11</f>
        <v/>
      </c>
      <c r="AX5" s="51">
        <f>Rubric!C12</f>
        <v/>
      </c>
      <c r="AY5" s="48" t="inlineStr">
        <is>
          <t>Primary SDG strength</t>
        </is>
      </c>
      <c r="AZ5" s="48" t="inlineStr">
        <is>
          <t>Secondary SDG strength</t>
        </is>
      </c>
      <c r="BA5" s="7" t="inlineStr">
        <is>
          <t>Total</t>
        </is>
      </c>
      <c r="BB5" s="7" t="inlineStr">
        <is>
          <t>Score %</t>
        </is>
      </c>
      <c r="BC5" s="7" t="inlineStr">
        <is>
          <t>Rank</t>
        </is>
      </c>
      <c r="BD5" s="7" t="inlineStr">
        <is>
          <t>Status</t>
        </is>
      </c>
      <c r="BE5" s="10" t="inlineStr">
        <is>
          <t>PO1</t>
        </is>
      </c>
      <c r="BF5" s="10" t="inlineStr">
        <is>
          <t>PO2</t>
        </is>
      </c>
      <c r="BG5" s="10" t="inlineStr">
        <is>
          <t>PO3</t>
        </is>
      </c>
      <c r="BH5" s="10" t="inlineStr">
        <is>
          <t>PO4</t>
        </is>
      </c>
      <c r="BI5" s="10" t="inlineStr">
        <is>
          <t>PO5</t>
        </is>
      </c>
      <c r="BJ5" s="10" t="inlineStr">
        <is>
          <t>PO6</t>
        </is>
      </c>
      <c r="BK5" s="10" t="inlineStr">
        <is>
          <t>PO7</t>
        </is>
      </c>
      <c r="BL5" s="10" t="inlineStr">
        <is>
          <t>PO8</t>
        </is>
      </c>
      <c r="BM5" s="10" t="inlineStr">
        <is>
          <t>PO9</t>
        </is>
      </c>
      <c r="BN5" s="10" t="inlineStr">
        <is>
          <t>PO10</t>
        </is>
      </c>
      <c r="BO5" s="10" t="inlineStr">
        <is>
          <t>PO11</t>
        </is>
      </c>
      <c r="BP5" s="10" t="inlineStr">
        <is>
          <t>PSO1</t>
        </is>
      </c>
      <c r="BQ5" s="10" t="inlineStr">
        <is>
          <t>PSO2</t>
        </is>
      </c>
    </row>
    <row r="6">
      <c r="A6" s="21" t="n"/>
      <c r="B6" s="21" t="n"/>
      <c r="C6" s="21" t="n"/>
      <c r="D6" s="21" t="n"/>
      <c r="E6" s="21" t="n"/>
      <c r="F6" s="21" t="n"/>
      <c r="G6" s="21" t="n"/>
      <c r="H6" s="21" t="n"/>
      <c r="I6" s="52">
        <f>Rubric!D4</f>
        <v/>
      </c>
      <c r="J6" s="52">
        <f>Rubric!D5</f>
        <v/>
      </c>
      <c r="K6" s="52">
        <f>Rubric!D6</f>
        <v/>
      </c>
      <c r="L6" s="52">
        <f>Rubric!D7</f>
        <v/>
      </c>
      <c r="M6" s="52">
        <f>Rubric!D8</f>
        <v/>
      </c>
      <c r="N6" s="52">
        <f>Rubric!D9</f>
        <v/>
      </c>
      <c r="O6" s="52">
        <f>Rubric!D10</f>
        <v/>
      </c>
      <c r="P6" s="52">
        <f>Rubric!D11</f>
        <v/>
      </c>
      <c r="Q6" s="52">
        <f>Rubric!D12</f>
        <v/>
      </c>
      <c r="R6" s="53" t="inlineStr">
        <is>
          <t>0–3</t>
        </is>
      </c>
      <c r="S6" s="53" t="inlineStr">
        <is>
          <t>0–3</t>
        </is>
      </c>
      <c r="T6" s="54">
        <f>Rubric!D4</f>
        <v/>
      </c>
      <c r="U6" s="54">
        <f>Rubric!D5</f>
        <v/>
      </c>
      <c r="V6" s="54">
        <f>Rubric!D6</f>
        <v/>
      </c>
      <c r="W6" s="54">
        <f>Rubric!D7</f>
        <v/>
      </c>
      <c r="X6" s="54">
        <f>Rubric!D8</f>
        <v/>
      </c>
      <c r="Y6" s="54">
        <f>Rubric!D9</f>
        <v/>
      </c>
      <c r="Z6" s="54">
        <f>Rubric!D10</f>
        <v/>
      </c>
      <c r="AA6" s="54">
        <f>Rubric!D11</f>
        <v/>
      </c>
      <c r="AB6" s="54">
        <f>Rubric!D12</f>
        <v/>
      </c>
      <c r="AC6" s="53" t="inlineStr">
        <is>
          <t>0–3</t>
        </is>
      </c>
      <c r="AD6" s="53" t="inlineStr">
        <is>
          <t>0–3</t>
        </is>
      </c>
      <c r="AE6" s="55">
        <f>Rubric!D4</f>
        <v/>
      </c>
      <c r="AF6" s="55">
        <f>Rubric!D5</f>
        <v/>
      </c>
      <c r="AG6" s="55">
        <f>Rubric!D6</f>
        <v/>
      </c>
      <c r="AH6" s="55">
        <f>Rubric!D7</f>
        <v/>
      </c>
      <c r="AI6" s="55">
        <f>Rubric!D8</f>
        <v/>
      </c>
      <c r="AJ6" s="55">
        <f>Rubric!D9</f>
        <v/>
      </c>
      <c r="AK6" s="55">
        <f>Rubric!D10</f>
        <v/>
      </c>
      <c r="AL6" s="55">
        <f>Rubric!D11</f>
        <v/>
      </c>
      <c r="AM6" s="55">
        <f>Rubric!D12</f>
        <v/>
      </c>
      <c r="AN6" s="53" t="inlineStr">
        <is>
          <t>0–3</t>
        </is>
      </c>
      <c r="AO6" s="53" t="inlineStr">
        <is>
          <t>0–3</t>
        </is>
      </c>
      <c r="AP6" s="56">
        <f>Rubric!D4</f>
        <v/>
      </c>
      <c r="AQ6" s="56">
        <f>Rubric!D5</f>
        <v/>
      </c>
      <c r="AR6" s="56">
        <f>Rubric!D6</f>
        <v/>
      </c>
      <c r="AS6" s="56">
        <f>Rubric!D7</f>
        <v/>
      </c>
      <c r="AT6" s="56">
        <f>Rubric!D8</f>
        <v/>
      </c>
      <c r="AU6" s="56">
        <f>Rubric!D9</f>
        <v/>
      </c>
      <c r="AV6" s="56">
        <f>Rubric!D10</f>
        <v/>
      </c>
      <c r="AW6" s="56">
        <f>Rubric!D11</f>
        <v/>
      </c>
      <c r="AX6" s="56">
        <f>Rubric!D12</f>
        <v/>
      </c>
      <c r="AY6" s="53" t="inlineStr">
        <is>
          <t>0–3</t>
        </is>
      </c>
      <c r="AZ6" s="53" t="inlineStr">
        <is>
          <t>0–3</t>
        </is>
      </c>
      <c r="BA6" s="7">
        <f>Rubric!$D$13</f>
        <v/>
      </c>
      <c r="BB6" s="57" t="inlineStr"/>
      <c r="BC6" s="57" t="inlineStr"/>
      <c r="BD6" s="57" t="inlineStr"/>
      <c r="BE6" s="58" t="inlineStr">
        <is>
          <t>%</t>
        </is>
      </c>
      <c r="BF6" s="58" t="inlineStr">
        <is>
          <t>%</t>
        </is>
      </c>
      <c r="BG6" s="58" t="inlineStr">
        <is>
          <t>%</t>
        </is>
      </c>
      <c r="BH6" s="58" t="inlineStr">
        <is>
          <t>%</t>
        </is>
      </c>
      <c r="BI6" s="58" t="inlineStr">
        <is>
          <t>%</t>
        </is>
      </c>
      <c r="BJ6" s="58" t="inlineStr">
        <is>
          <t>%</t>
        </is>
      </c>
      <c r="BK6" s="58" t="inlineStr">
        <is>
          <t>%</t>
        </is>
      </c>
      <c r="BL6" s="58" t="inlineStr">
        <is>
          <t>%</t>
        </is>
      </c>
      <c r="BM6" s="58" t="inlineStr">
        <is>
          <t>%</t>
        </is>
      </c>
      <c r="BN6" s="58" t="inlineStr">
        <is>
          <t>%</t>
        </is>
      </c>
      <c r="BO6" s="58" t="inlineStr">
        <is>
          <t>%</t>
        </is>
      </c>
      <c r="BP6" s="58" t="inlineStr">
        <is>
          <t>%</t>
        </is>
      </c>
      <c r="BQ6" s="58" t="inlineStr">
        <is>
          <t>%</t>
        </is>
      </c>
    </row>
    <row r="7" ht="30" customHeight="1">
      <c r="A7" s="28" t="n">
        <v>1</v>
      </c>
      <c r="B7" s="29" t="inlineStr">
        <is>
          <t>5th Sem - B</t>
        </is>
      </c>
      <c r="C7" s="29" t="n"/>
      <c r="D7" s="6" t="n"/>
      <c r="E7" s="6" t="n"/>
      <c r="F7" s="29" t="n"/>
      <c r="G7" s="29" t="n"/>
      <c r="H7" s="6" t="n"/>
      <c r="I7" s="29" t="n"/>
      <c r="J7" s="29" t="n"/>
      <c r="K7" s="29" t="n"/>
      <c r="L7" s="29" t="n"/>
      <c r="M7" s="29" t="n"/>
      <c r="N7" s="29" t="n"/>
      <c r="O7" s="29" t="n"/>
      <c r="P7" s="29" t="n"/>
      <c r="Q7" s="29" t="n"/>
      <c r="R7" s="29" t="n"/>
      <c r="S7" s="29" t="n"/>
      <c r="T7" s="29" t="n"/>
      <c r="U7" s="29" t="n"/>
      <c r="V7" s="29" t="n"/>
      <c r="W7" s="29" t="n"/>
      <c r="X7" s="29" t="n"/>
      <c r="Y7" s="29" t="n"/>
      <c r="Z7" s="29" t="n"/>
      <c r="AA7" s="29" t="n"/>
      <c r="AB7" s="29" t="n"/>
      <c r="AC7" s="29" t="n"/>
      <c r="AD7" s="29" t="n"/>
      <c r="AE7" s="29" t="n"/>
      <c r="AF7" s="29" t="n"/>
      <c r="AG7" s="29" t="n"/>
      <c r="AH7" s="29" t="n"/>
      <c r="AI7" s="29" t="n"/>
      <c r="AJ7" s="29" t="n"/>
      <c r="AK7" s="29" t="n"/>
      <c r="AL7" s="29" t="n"/>
      <c r="AM7" s="29" t="n"/>
      <c r="AN7" s="29" t="n"/>
      <c r="AO7" s="29" t="n"/>
      <c r="AP7" s="59">
        <f>IF(COUNT(I7,T7,AE7)=0,"",AVERAGE(I7,T7,AE7))</f>
        <v/>
      </c>
      <c r="AQ7" s="59">
        <f>IF(COUNT(J7,U7,AF7)=0,"",AVERAGE(J7,U7,AF7))</f>
        <v/>
      </c>
      <c r="AR7" s="59">
        <f>IF(COUNT(K7,V7,AG7)=0,"",AVERAGE(K7,V7,AG7))</f>
        <v/>
      </c>
      <c r="AS7" s="59">
        <f>IF(COUNT(L7,W7,AH7)=0,"",AVERAGE(L7,W7,AH7))</f>
        <v/>
      </c>
      <c r="AT7" s="59">
        <f>IF(COUNT(M7,X7,AI7)=0,"",AVERAGE(M7,X7,AI7))</f>
        <v/>
      </c>
      <c r="AU7" s="59">
        <f>IF(COUNT(N7,Y7,AJ7)=0,"",AVERAGE(N7,Y7,AJ7))</f>
        <v/>
      </c>
      <c r="AV7" s="59">
        <f>IF(COUNT(O7,Z7,AK7)=0,"",AVERAGE(O7,Z7,AK7))</f>
        <v/>
      </c>
      <c r="AW7" s="59">
        <f>IF(COUNT(P7,AA7,AL7)=0,"",AVERAGE(P7,AA7,AL7))</f>
        <v/>
      </c>
      <c r="AX7" s="59">
        <f>IF(COUNT(Q7,AB7,AM7)=0,"",AVERAGE(Q7,AB7,AM7))</f>
        <v/>
      </c>
      <c r="AY7" s="60">
        <f>IF(OR($F7="",COUNT(R7,AC7,AN7)=0),"",AVERAGE(R7,AC7,AN7))</f>
        <v/>
      </c>
      <c r="AZ7" s="60">
        <f>IF(OR($G7="",$G7=$F7,COUNT(S7,AD7,AO7)=0),"",AVERAGE(S7,AD7,AO7))</f>
        <v/>
      </c>
      <c r="BA7" s="61">
        <f>IF(COUNT(AP7:AX7)=0,"",SUM(AP7:AX7))</f>
        <v/>
      </c>
      <c r="BB7" s="62">
        <f>IF(BA7="","",BA7/BA$6)</f>
        <v/>
      </c>
      <c r="BC7" s="14">
        <f>IF(BR7="","",COUNTIF($BR$7:$BR$26,"&gt;"&amp;BR7)+COUNTIF($BR$7:BR7,BR7))</f>
        <v/>
      </c>
      <c r="BD7" s="63">
        <f>IF(BC7="","",IF(BC7&lt;=Mapping!$C$11,"Shortlisted","Not shortlisted"))</f>
        <v/>
      </c>
      <c r="BE7" s="64">
        <f>IFERROR((AP7/AP$6*Mapping!$D$15+AQ7/AQ$6*Mapping!$D$16+AR7/AR$6*Mapping!$D$17+AS7/AS$6*Mapping!$D$18+AT7/AT$6*Mapping!$D$19+AU7/AU$6*Mapping!$D$20+AV7/AV$6*Mapping!$D$21+AW7/AW$6*Mapping!$D$22+AX7/AX$6*Mapping!$D$23)/SUM(Mapping!$D$15:$D$23),"")</f>
        <v/>
      </c>
      <c r="BF7" s="64">
        <f>IFERROR((AP7/AP$6*Mapping!$E$15+AQ7/AQ$6*Mapping!$E$16+AR7/AR$6*Mapping!$E$17+AS7/AS$6*Mapping!$E$18+AT7/AT$6*Mapping!$E$19+AU7/AU$6*Mapping!$E$20+AV7/AV$6*Mapping!$E$21+AW7/AW$6*Mapping!$E$22+AX7/AX$6*Mapping!$E$23)/SUM(Mapping!$E$15:$E$23),"")</f>
        <v/>
      </c>
      <c r="BG7" s="64">
        <f>IFERROR((AP7/AP$6*Mapping!$F$15+AQ7/AQ$6*Mapping!$F$16+AR7/AR$6*Mapping!$F$17+AS7/AS$6*Mapping!$F$18+AT7/AT$6*Mapping!$F$19+AU7/AU$6*Mapping!$F$20+AV7/AV$6*Mapping!$F$21+AW7/AW$6*Mapping!$F$22+AX7/AX$6*Mapping!$F$23)/SUM(Mapping!$F$15:$F$23),"")</f>
        <v/>
      </c>
      <c r="BH7" s="64">
        <f>IFERROR((AP7/AP$6*Mapping!$G$15+AQ7/AQ$6*Mapping!$G$16+AR7/AR$6*Mapping!$G$17+AS7/AS$6*Mapping!$G$18+AT7/AT$6*Mapping!$G$19+AU7/AU$6*Mapping!$G$20+AV7/AV$6*Mapping!$G$21+AW7/AW$6*Mapping!$G$22+AX7/AX$6*Mapping!$G$23)/SUM(Mapping!$G$15:$G$23),"")</f>
        <v/>
      </c>
      <c r="BI7" s="64">
        <f>IFERROR((AP7/AP$6*Mapping!$H$15+AQ7/AQ$6*Mapping!$H$16+AR7/AR$6*Mapping!$H$17+AS7/AS$6*Mapping!$H$18+AT7/AT$6*Mapping!$H$19+AU7/AU$6*Mapping!$H$20+AV7/AV$6*Mapping!$H$21+AW7/AW$6*Mapping!$H$22+AX7/AX$6*Mapping!$H$23)/SUM(Mapping!$H$15:$H$23),"")</f>
        <v/>
      </c>
      <c r="BJ7" s="64">
        <f>IFERROR((AP7/AP$6*Mapping!$I$15+AQ7/AQ$6*Mapping!$I$16+AR7/AR$6*Mapping!$I$17+AS7/AS$6*Mapping!$I$18+AT7/AT$6*Mapping!$I$19+AU7/AU$6*Mapping!$I$20+AV7/AV$6*Mapping!$I$21+AW7/AW$6*Mapping!$I$22+AX7/AX$6*Mapping!$I$23)/SUM(Mapping!$I$15:$I$23),"")</f>
        <v/>
      </c>
      <c r="BK7" s="64">
        <f>IFERROR((AP7/AP$6*Mapping!$J$15+AQ7/AQ$6*Mapping!$J$16+AR7/AR$6*Mapping!$J$17+AS7/AS$6*Mapping!$J$18+AT7/AT$6*Mapping!$J$19+AU7/AU$6*Mapping!$J$20+AV7/AV$6*Mapping!$J$21+AW7/AW$6*Mapping!$J$22+AX7/AX$6*Mapping!$J$23)/SUM(Mapping!$J$15:$J$23),"")</f>
        <v/>
      </c>
      <c r="BL7" s="64">
        <f>IFERROR((AP7/AP$6*Mapping!$K$15+AQ7/AQ$6*Mapping!$K$16+AR7/AR$6*Mapping!$K$17+AS7/AS$6*Mapping!$K$18+AT7/AT$6*Mapping!$K$19+AU7/AU$6*Mapping!$K$20+AV7/AV$6*Mapping!$K$21+AW7/AW$6*Mapping!$K$22+AX7/AX$6*Mapping!$K$23)/SUM(Mapping!$K$15:$K$23),"")</f>
        <v/>
      </c>
      <c r="BM7" s="64">
        <f>IFERROR((AP7/AP$6*Mapping!$L$15+AQ7/AQ$6*Mapping!$L$16+AR7/AR$6*Mapping!$L$17+AS7/AS$6*Mapping!$L$18+AT7/AT$6*Mapping!$L$19+AU7/AU$6*Mapping!$L$20+AV7/AV$6*Mapping!$L$21+AW7/AW$6*Mapping!$L$22+AX7/AX$6*Mapping!$L$23)/SUM(Mapping!$L$15:$L$23),"")</f>
        <v/>
      </c>
      <c r="BN7" s="64">
        <f>IFERROR((AP7/AP$6*Mapping!$M$15+AQ7/AQ$6*Mapping!$M$16+AR7/AR$6*Mapping!$M$17+AS7/AS$6*Mapping!$M$18+AT7/AT$6*Mapping!$M$19+AU7/AU$6*Mapping!$M$20+AV7/AV$6*Mapping!$M$21+AW7/AW$6*Mapping!$M$22+AX7/AX$6*Mapping!$M$23)/SUM(Mapping!$M$15:$M$23),"")</f>
        <v/>
      </c>
      <c r="BO7" s="64">
        <f>IFERROR((AP7/AP$6*Mapping!$N$15+AQ7/AQ$6*Mapping!$N$16+AR7/AR$6*Mapping!$N$17+AS7/AS$6*Mapping!$N$18+AT7/AT$6*Mapping!$N$19+AU7/AU$6*Mapping!$N$20+AV7/AV$6*Mapping!$N$21+AW7/AW$6*Mapping!$N$22+AX7/AX$6*Mapping!$N$23)/SUM(Mapping!$N$15:$N$23),"")</f>
        <v/>
      </c>
      <c r="BP7" s="64">
        <f>IFERROR((AP7/AP$6*Mapping!$O$15+AQ7/AQ$6*Mapping!$O$16+AR7/AR$6*Mapping!$O$17+AS7/AS$6*Mapping!$O$18+AT7/AT$6*Mapping!$O$19+AU7/AU$6*Mapping!$O$20+AV7/AV$6*Mapping!$O$21+AW7/AW$6*Mapping!$O$22+AX7/AX$6*Mapping!$O$23)/SUM(Mapping!$O$15:$O$23),"")</f>
        <v/>
      </c>
      <c r="BQ7" s="64">
        <f>IFERROR((AP7/AP$6*Mapping!$P$15+AQ7/AQ$6*Mapping!$P$16+AR7/AR$6*Mapping!$P$17+AS7/AS$6*Mapping!$P$18+AT7/AT$6*Mapping!$P$19+AU7/AU$6*Mapping!$P$20+AV7/AV$6*Mapping!$P$21+AW7/AW$6*Mapping!$P$22+AX7/AX$6*Mapping!$P$23)/SUM(Mapping!$P$15:$P$23),"")</f>
        <v/>
      </c>
      <c r="BR7" s="65">
        <f>IF(BA7="","",BA7+N(AS7)/10000)</f>
        <v/>
      </c>
    </row>
    <row r="8" ht="30" customHeight="1">
      <c r="A8" s="28" t="n">
        <v>2</v>
      </c>
      <c r="B8" s="29" t="inlineStr">
        <is>
          <t>5th Sem - B</t>
        </is>
      </c>
      <c r="C8" s="29" t="n"/>
      <c r="D8" s="6" t="n"/>
      <c r="E8" s="6" t="n"/>
      <c r="F8" s="29" t="n"/>
      <c r="G8" s="29" t="n"/>
      <c r="H8" s="6" t="n"/>
      <c r="I8" s="29" t="n"/>
      <c r="J8" s="29" t="n"/>
      <c r="K8" s="29" t="n"/>
      <c r="L8" s="29" t="n"/>
      <c r="M8" s="29" t="n"/>
      <c r="N8" s="29" t="n"/>
      <c r="O8" s="29" t="n"/>
      <c r="P8" s="29" t="n"/>
      <c r="Q8" s="29" t="n"/>
      <c r="R8" s="29" t="n"/>
      <c r="S8" s="29" t="n"/>
      <c r="T8" s="29" t="n"/>
      <c r="U8" s="29" t="n"/>
      <c r="V8" s="29" t="n"/>
      <c r="W8" s="29" t="n"/>
      <c r="X8" s="29" t="n"/>
      <c r="Y8" s="29" t="n"/>
      <c r="Z8" s="29" t="n"/>
      <c r="AA8" s="29" t="n"/>
      <c r="AB8" s="29" t="n"/>
      <c r="AC8" s="29" t="n"/>
      <c r="AD8" s="29" t="n"/>
      <c r="AE8" s="29" t="n"/>
      <c r="AF8" s="29" t="n"/>
      <c r="AG8" s="29" t="n"/>
      <c r="AH8" s="29" t="n"/>
      <c r="AI8" s="29" t="n"/>
      <c r="AJ8" s="29" t="n"/>
      <c r="AK8" s="29" t="n"/>
      <c r="AL8" s="29" t="n"/>
      <c r="AM8" s="29" t="n"/>
      <c r="AN8" s="29" t="n"/>
      <c r="AO8" s="29" t="n"/>
      <c r="AP8" s="59">
        <f>IF(COUNT(I8,T8,AE8)=0,"",AVERAGE(I8,T8,AE8))</f>
        <v/>
      </c>
      <c r="AQ8" s="59">
        <f>IF(COUNT(J8,U8,AF8)=0,"",AVERAGE(J8,U8,AF8))</f>
        <v/>
      </c>
      <c r="AR8" s="59">
        <f>IF(COUNT(K8,V8,AG8)=0,"",AVERAGE(K8,V8,AG8))</f>
        <v/>
      </c>
      <c r="AS8" s="59">
        <f>IF(COUNT(L8,W8,AH8)=0,"",AVERAGE(L8,W8,AH8))</f>
        <v/>
      </c>
      <c r="AT8" s="59">
        <f>IF(COUNT(M8,X8,AI8)=0,"",AVERAGE(M8,X8,AI8))</f>
        <v/>
      </c>
      <c r="AU8" s="59">
        <f>IF(COUNT(N8,Y8,AJ8)=0,"",AVERAGE(N8,Y8,AJ8))</f>
        <v/>
      </c>
      <c r="AV8" s="59">
        <f>IF(COUNT(O8,Z8,AK8)=0,"",AVERAGE(O8,Z8,AK8))</f>
        <v/>
      </c>
      <c r="AW8" s="59">
        <f>IF(COUNT(P8,AA8,AL8)=0,"",AVERAGE(P8,AA8,AL8))</f>
        <v/>
      </c>
      <c r="AX8" s="59">
        <f>IF(COUNT(Q8,AB8,AM8)=0,"",AVERAGE(Q8,AB8,AM8))</f>
        <v/>
      </c>
      <c r="AY8" s="60">
        <f>IF(OR($F8="",COUNT(R8,AC8,AN8)=0),"",AVERAGE(R8,AC8,AN8))</f>
        <v/>
      </c>
      <c r="AZ8" s="60">
        <f>IF(OR($G8="",$G8=$F8,COUNT(S8,AD8,AO8)=0),"",AVERAGE(S8,AD8,AO8))</f>
        <v/>
      </c>
      <c r="BA8" s="61">
        <f>IF(COUNT(AP8:AX8)=0,"",SUM(AP8:AX8))</f>
        <v/>
      </c>
      <c r="BB8" s="62">
        <f>IF(BA8="","",BA8/BA$6)</f>
        <v/>
      </c>
      <c r="BC8" s="14">
        <f>IF(BR8="","",COUNTIF($BR$7:$BR$26,"&gt;"&amp;BR8)+COUNTIF($BR$7:BR8,BR8))</f>
        <v/>
      </c>
      <c r="BD8" s="63">
        <f>IF(BC8="","",IF(BC8&lt;=Mapping!$C$11,"Shortlisted","Not shortlisted"))</f>
        <v/>
      </c>
      <c r="BE8" s="64">
        <f>IFERROR((AP8/AP$6*Mapping!$D$15+AQ8/AQ$6*Mapping!$D$16+AR8/AR$6*Mapping!$D$17+AS8/AS$6*Mapping!$D$18+AT8/AT$6*Mapping!$D$19+AU8/AU$6*Mapping!$D$20+AV8/AV$6*Mapping!$D$21+AW8/AW$6*Mapping!$D$22+AX8/AX$6*Mapping!$D$23)/SUM(Mapping!$D$15:$D$23),"")</f>
        <v/>
      </c>
      <c r="BF8" s="64">
        <f>IFERROR((AP8/AP$6*Mapping!$E$15+AQ8/AQ$6*Mapping!$E$16+AR8/AR$6*Mapping!$E$17+AS8/AS$6*Mapping!$E$18+AT8/AT$6*Mapping!$E$19+AU8/AU$6*Mapping!$E$20+AV8/AV$6*Mapping!$E$21+AW8/AW$6*Mapping!$E$22+AX8/AX$6*Mapping!$E$23)/SUM(Mapping!$E$15:$E$23),"")</f>
        <v/>
      </c>
      <c r="BG8" s="64">
        <f>IFERROR((AP8/AP$6*Mapping!$F$15+AQ8/AQ$6*Mapping!$F$16+AR8/AR$6*Mapping!$F$17+AS8/AS$6*Mapping!$F$18+AT8/AT$6*Mapping!$F$19+AU8/AU$6*Mapping!$F$20+AV8/AV$6*Mapping!$F$21+AW8/AW$6*Mapping!$F$22+AX8/AX$6*Mapping!$F$23)/SUM(Mapping!$F$15:$F$23),"")</f>
        <v/>
      </c>
      <c r="BH8" s="64">
        <f>IFERROR((AP8/AP$6*Mapping!$G$15+AQ8/AQ$6*Mapping!$G$16+AR8/AR$6*Mapping!$G$17+AS8/AS$6*Mapping!$G$18+AT8/AT$6*Mapping!$G$19+AU8/AU$6*Mapping!$G$20+AV8/AV$6*Mapping!$G$21+AW8/AW$6*Mapping!$G$22+AX8/AX$6*Mapping!$G$23)/SUM(Mapping!$G$15:$G$23),"")</f>
        <v/>
      </c>
      <c r="BI8" s="64">
        <f>IFERROR((AP8/AP$6*Mapping!$H$15+AQ8/AQ$6*Mapping!$H$16+AR8/AR$6*Mapping!$H$17+AS8/AS$6*Mapping!$H$18+AT8/AT$6*Mapping!$H$19+AU8/AU$6*Mapping!$H$20+AV8/AV$6*Mapping!$H$21+AW8/AW$6*Mapping!$H$22+AX8/AX$6*Mapping!$H$23)/SUM(Mapping!$H$15:$H$23),"")</f>
        <v/>
      </c>
      <c r="BJ8" s="64">
        <f>IFERROR((AP8/AP$6*Mapping!$I$15+AQ8/AQ$6*Mapping!$I$16+AR8/AR$6*Mapping!$I$17+AS8/AS$6*Mapping!$I$18+AT8/AT$6*Mapping!$I$19+AU8/AU$6*Mapping!$I$20+AV8/AV$6*Mapping!$I$21+AW8/AW$6*Mapping!$I$22+AX8/AX$6*Mapping!$I$23)/SUM(Mapping!$I$15:$I$23),"")</f>
        <v/>
      </c>
      <c r="BK8" s="64">
        <f>IFERROR((AP8/AP$6*Mapping!$J$15+AQ8/AQ$6*Mapping!$J$16+AR8/AR$6*Mapping!$J$17+AS8/AS$6*Mapping!$J$18+AT8/AT$6*Mapping!$J$19+AU8/AU$6*Mapping!$J$20+AV8/AV$6*Mapping!$J$21+AW8/AW$6*Mapping!$J$22+AX8/AX$6*Mapping!$J$23)/SUM(Mapping!$J$15:$J$23),"")</f>
        <v/>
      </c>
      <c r="BL8" s="64">
        <f>IFERROR((AP8/AP$6*Mapping!$K$15+AQ8/AQ$6*Mapping!$K$16+AR8/AR$6*Mapping!$K$17+AS8/AS$6*Mapping!$K$18+AT8/AT$6*Mapping!$K$19+AU8/AU$6*Mapping!$K$20+AV8/AV$6*Mapping!$K$21+AW8/AW$6*Mapping!$K$22+AX8/AX$6*Mapping!$K$23)/SUM(Mapping!$K$15:$K$23),"")</f>
        <v/>
      </c>
      <c r="BM8" s="64">
        <f>IFERROR((AP8/AP$6*Mapping!$L$15+AQ8/AQ$6*Mapping!$L$16+AR8/AR$6*Mapping!$L$17+AS8/AS$6*Mapping!$L$18+AT8/AT$6*Mapping!$L$19+AU8/AU$6*Mapping!$L$20+AV8/AV$6*Mapping!$L$21+AW8/AW$6*Mapping!$L$22+AX8/AX$6*Mapping!$L$23)/SUM(Mapping!$L$15:$L$23),"")</f>
        <v/>
      </c>
      <c r="BN8" s="64">
        <f>IFERROR((AP8/AP$6*Mapping!$M$15+AQ8/AQ$6*Mapping!$M$16+AR8/AR$6*Mapping!$M$17+AS8/AS$6*Mapping!$M$18+AT8/AT$6*Mapping!$M$19+AU8/AU$6*Mapping!$M$20+AV8/AV$6*Mapping!$M$21+AW8/AW$6*Mapping!$M$22+AX8/AX$6*Mapping!$M$23)/SUM(Mapping!$M$15:$M$23),"")</f>
        <v/>
      </c>
      <c r="BO8" s="64">
        <f>IFERROR((AP8/AP$6*Mapping!$N$15+AQ8/AQ$6*Mapping!$N$16+AR8/AR$6*Mapping!$N$17+AS8/AS$6*Mapping!$N$18+AT8/AT$6*Mapping!$N$19+AU8/AU$6*Mapping!$N$20+AV8/AV$6*Mapping!$N$21+AW8/AW$6*Mapping!$N$22+AX8/AX$6*Mapping!$N$23)/SUM(Mapping!$N$15:$N$23),"")</f>
        <v/>
      </c>
      <c r="BP8" s="64">
        <f>IFERROR((AP8/AP$6*Mapping!$O$15+AQ8/AQ$6*Mapping!$O$16+AR8/AR$6*Mapping!$O$17+AS8/AS$6*Mapping!$O$18+AT8/AT$6*Mapping!$O$19+AU8/AU$6*Mapping!$O$20+AV8/AV$6*Mapping!$O$21+AW8/AW$6*Mapping!$O$22+AX8/AX$6*Mapping!$O$23)/SUM(Mapping!$O$15:$O$23),"")</f>
        <v/>
      </c>
      <c r="BQ8" s="64">
        <f>IFERROR((AP8/AP$6*Mapping!$P$15+AQ8/AQ$6*Mapping!$P$16+AR8/AR$6*Mapping!$P$17+AS8/AS$6*Mapping!$P$18+AT8/AT$6*Mapping!$P$19+AU8/AU$6*Mapping!$P$20+AV8/AV$6*Mapping!$P$21+AW8/AW$6*Mapping!$P$22+AX8/AX$6*Mapping!$P$23)/SUM(Mapping!$P$15:$P$23),"")</f>
        <v/>
      </c>
      <c r="BR8" s="65">
        <f>IF(BA8="","",BA8+N(AS8)/10000)</f>
        <v/>
      </c>
    </row>
    <row r="9" ht="30" customHeight="1">
      <c r="A9" s="28" t="n">
        <v>3</v>
      </c>
      <c r="B9" s="29" t="inlineStr">
        <is>
          <t>5th Sem - B</t>
        </is>
      </c>
      <c r="C9" s="29" t="n"/>
      <c r="D9" s="6" t="n"/>
      <c r="E9" s="6" t="n"/>
      <c r="F9" s="29" t="n"/>
      <c r="G9" s="29" t="n"/>
      <c r="H9" s="6" t="n"/>
      <c r="I9" s="29" t="n"/>
      <c r="J9" s="29" t="n"/>
      <c r="K9" s="29" t="n"/>
      <c r="L9" s="29" t="n"/>
      <c r="M9" s="29" t="n"/>
      <c r="N9" s="29" t="n"/>
      <c r="O9" s="29" t="n"/>
      <c r="P9" s="29" t="n"/>
      <c r="Q9" s="29" t="n"/>
      <c r="R9" s="29" t="n"/>
      <c r="S9" s="29" t="n"/>
      <c r="T9" s="29" t="n"/>
      <c r="U9" s="29" t="n"/>
      <c r="V9" s="29" t="n"/>
      <c r="W9" s="29" t="n"/>
      <c r="X9" s="29" t="n"/>
      <c r="Y9" s="29" t="n"/>
      <c r="Z9" s="29" t="n"/>
      <c r="AA9" s="29" t="n"/>
      <c r="AB9" s="29" t="n"/>
      <c r="AC9" s="29" t="n"/>
      <c r="AD9" s="29" t="n"/>
      <c r="AE9" s="29" t="n"/>
      <c r="AF9" s="29" t="n"/>
      <c r="AG9" s="29" t="n"/>
      <c r="AH9" s="29" t="n"/>
      <c r="AI9" s="29" t="n"/>
      <c r="AJ9" s="29" t="n"/>
      <c r="AK9" s="29" t="n"/>
      <c r="AL9" s="29" t="n"/>
      <c r="AM9" s="29" t="n"/>
      <c r="AN9" s="29" t="n"/>
      <c r="AO9" s="29" t="n"/>
      <c r="AP9" s="59">
        <f>IF(COUNT(I9,T9,AE9)=0,"",AVERAGE(I9,T9,AE9))</f>
        <v/>
      </c>
      <c r="AQ9" s="59">
        <f>IF(COUNT(J9,U9,AF9)=0,"",AVERAGE(J9,U9,AF9))</f>
        <v/>
      </c>
      <c r="AR9" s="59">
        <f>IF(COUNT(K9,V9,AG9)=0,"",AVERAGE(K9,V9,AG9))</f>
        <v/>
      </c>
      <c r="AS9" s="59">
        <f>IF(COUNT(L9,W9,AH9)=0,"",AVERAGE(L9,W9,AH9))</f>
        <v/>
      </c>
      <c r="AT9" s="59">
        <f>IF(COUNT(M9,X9,AI9)=0,"",AVERAGE(M9,X9,AI9))</f>
        <v/>
      </c>
      <c r="AU9" s="59">
        <f>IF(COUNT(N9,Y9,AJ9)=0,"",AVERAGE(N9,Y9,AJ9))</f>
        <v/>
      </c>
      <c r="AV9" s="59">
        <f>IF(COUNT(O9,Z9,AK9)=0,"",AVERAGE(O9,Z9,AK9))</f>
        <v/>
      </c>
      <c r="AW9" s="59">
        <f>IF(COUNT(P9,AA9,AL9)=0,"",AVERAGE(P9,AA9,AL9))</f>
        <v/>
      </c>
      <c r="AX9" s="59">
        <f>IF(COUNT(Q9,AB9,AM9)=0,"",AVERAGE(Q9,AB9,AM9))</f>
        <v/>
      </c>
      <c r="AY9" s="60">
        <f>IF(OR($F9="",COUNT(R9,AC9,AN9)=0),"",AVERAGE(R9,AC9,AN9))</f>
        <v/>
      </c>
      <c r="AZ9" s="60">
        <f>IF(OR($G9="",$G9=$F9,COUNT(S9,AD9,AO9)=0),"",AVERAGE(S9,AD9,AO9))</f>
        <v/>
      </c>
      <c r="BA9" s="61">
        <f>IF(COUNT(AP9:AX9)=0,"",SUM(AP9:AX9))</f>
        <v/>
      </c>
      <c r="BB9" s="62">
        <f>IF(BA9="","",BA9/BA$6)</f>
        <v/>
      </c>
      <c r="BC9" s="14">
        <f>IF(BR9="","",COUNTIF($BR$7:$BR$26,"&gt;"&amp;BR9)+COUNTIF($BR$7:BR9,BR9))</f>
        <v/>
      </c>
      <c r="BD9" s="63">
        <f>IF(BC9="","",IF(BC9&lt;=Mapping!$C$11,"Shortlisted","Not shortlisted"))</f>
        <v/>
      </c>
      <c r="BE9" s="64">
        <f>IFERROR((AP9/AP$6*Mapping!$D$15+AQ9/AQ$6*Mapping!$D$16+AR9/AR$6*Mapping!$D$17+AS9/AS$6*Mapping!$D$18+AT9/AT$6*Mapping!$D$19+AU9/AU$6*Mapping!$D$20+AV9/AV$6*Mapping!$D$21+AW9/AW$6*Mapping!$D$22+AX9/AX$6*Mapping!$D$23)/SUM(Mapping!$D$15:$D$23),"")</f>
        <v/>
      </c>
      <c r="BF9" s="64">
        <f>IFERROR((AP9/AP$6*Mapping!$E$15+AQ9/AQ$6*Mapping!$E$16+AR9/AR$6*Mapping!$E$17+AS9/AS$6*Mapping!$E$18+AT9/AT$6*Mapping!$E$19+AU9/AU$6*Mapping!$E$20+AV9/AV$6*Mapping!$E$21+AW9/AW$6*Mapping!$E$22+AX9/AX$6*Mapping!$E$23)/SUM(Mapping!$E$15:$E$23),"")</f>
        <v/>
      </c>
      <c r="BG9" s="64">
        <f>IFERROR((AP9/AP$6*Mapping!$F$15+AQ9/AQ$6*Mapping!$F$16+AR9/AR$6*Mapping!$F$17+AS9/AS$6*Mapping!$F$18+AT9/AT$6*Mapping!$F$19+AU9/AU$6*Mapping!$F$20+AV9/AV$6*Mapping!$F$21+AW9/AW$6*Mapping!$F$22+AX9/AX$6*Mapping!$F$23)/SUM(Mapping!$F$15:$F$23),"")</f>
        <v/>
      </c>
      <c r="BH9" s="64">
        <f>IFERROR((AP9/AP$6*Mapping!$G$15+AQ9/AQ$6*Mapping!$G$16+AR9/AR$6*Mapping!$G$17+AS9/AS$6*Mapping!$G$18+AT9/AT$6*Mapping!$G$19+AU9/AU$6*Mapping!$G$20+AV9/AV$6*Mapping!$G$21+AW9/AW$6*Mapping!$G$22+AX9/AX$6*Mapping!$G$23)/SUM(Mapping!$G$15:$G$23),"")</f>
        <v/>
      </c>
      <c r="BI9" s="64">
        <f>IFERROR((AP9/AP$6*Mapping!$H$15+AQ9/AQ$6*Mapping!$H$16+AR9/AR$6*Mapping!$H$17+AS9/AS$6*Mapping!$H$18+AT9/AT$6*Mapping!$H$19+AU9/AU$6*Mapping!$H$20+AV9/AV$6*Mapping!$H$21+AW9/AW$6*Mapping!$H$22+AX9/AX$6*Mapping!$H$23)/SUM(Mapping!$H$15:$H$23),"")</f>
        <v/>
      </c>
      <c r="BJ9" s="64">
        <f>IFERROR((AP9/AP$6*Mapping!$I$15+AQ9/AQ$6*Mapping!$I$16+AR9/AR$6*Mapping!$I$17+AS9/AS$6*Mapping!$I$18+AT9/AT$6*Mapping!$I$19+AU9/AU$6*Mapping!$I$20+AV9/AV$6*Mapping!$I$21+AW9/AW$6*Mapping!$I$22+AX9/AX$6*Mapping!$I$23)/SUM(Mapping!$I$15:$I$23),"")</f>
        <v/>
      </c>
      <c r="BK9" s="64">
        <f>IFERROR((AP9/AP$6*Mapping!$J$15+AQ9/AQ$6*Mapping!$J$16+AR9/AR$6*Mapping!$J$17+AS9/AS$6*Mapping!$J$18+AT9/AT$6*Mapping!$J$19+AU9/AU$6*Mapping!$J$20+AV9/AV$6*Mapping!$J$21+AW9/AW$6*Mapping!$J$22+AX9/AX$6*Mapping!$J$23)/SUM(Mapping!$J$15:$J$23),"")</f>
        <v/>
      </c>
      <c r="BL9" s="64">
        <f>IFERROR((AP9/AP$6*Mapping!$K$15+AQ9/AQ$6*Mapping!$K$16+AR9/AR$6*Mapping!$K$17+AS9/AS$6*Mapping!$K$18+AT9/AT$6*Mapping!$K$19+AU9/AU$6*Mapping!$K$20+AV9/AV$6*Mapping!$K$21+AW9/AW$6*Mapping!$K$22+AX9/AX$6*Mapping!$K$23)/SUM(Mapping!$K$15:$K$23),"")</f>
        <v/>
      </c>
      <c r="BM9" s="64">
        <f>IFERROR((AP9/AP$6*Mapping!$L$15+AQ9/AQ$6*Mapping!$L$16+AR9/AR$6*Mapping!$L$17+AS9/AS$6*Mapping!$L$18+AT9/AT$6*Mapping!$L$19+AU9/AU$6*Mapping!$L$20+AV9/AV$6*Mapping!$L$21+AW9/AW$6*Mapping!$L$22+AX9/AX$6*Mapping!$L$23)/SUM(Mapping!$L$15:$L$23),"")</f>
        <v/>
      </c>
      <c r="BN9" s="64">
        <f>IFERROR((AP9/AP$6*Mapping!$M$15+AQ9/AQ$6*Mapping!$M$16+AR9/AR$6*Mapping!$M$17+AS9/AS$6*Mapping!$M$18+AT9/AT$6*Mapping!$M$19+AU9/AU$6*Mapping!$M$20+AV9/AV$6*Mapping!$M$21+AW9/AW$6*Mapping!$M$22+AX9/AX$6*Mapping!$M$23)/SUM(Mapping!$M$15:$M$23),"")</f>
        <v/>
      </c>
      <c r="BO9" s="64">
        <f>IFERROR((AP9/AP$6*Mapping!$N$15+AQ9/AQ$6*Mapping!$N$16+AR9/AR$6*Mapping!$N$17+AS9/AS$6*Mapping!$N$18+AT9/AT$6*Mapping!$N$19+AU9/AU$6*Mapping!$N$20+AV9/AV$6*Mapping!$N$21+AW9/AW$6*Mapping!$N$22+AX9/AX$6*Mapping!$N$23)/SUM(Mapping!$N$15:$N$23),"")</f>
        <v/>
      </c>
      <c r="BP9" s="64">
        <f>IFERROR((AP9/AP$6*Mapping!$O$15+AQ9/AQ$6*Mapping!$O$16+AR9/AR$6*Mapping!$O$17+AS9/AS$6*Mapping!$O$18+AT9/AT$6*Mapping!$O$19+AU9/AU$6*Mapping!$O$20+AV9/AV$6*Mapping!$O$21+AW9/AW$6*Mapping!$O$22+AX9/AX$6*Mapping!$O$23)/SUM(Mapping!$O$15:$O$23),"")</f>
        <v/>
      </c>
      <c r="BQ9" s="64">
        <f>IFERROR((AP9/AP$6*Mapping!$P$15+AQ9/AQ$6*Mapping!$P$16+AR9/AR$6*Mapping!$P$17+AS9/AS$6*Mapping!$P$18+AT9/AT$6*Mapping!$P$19+AU9/AU$6*Mapping!$P$20+AV9/AV$6*Mapping!$P$21+AW9/AW$6*Mapping!$P$22+AX9/AX$6*Mapping!$P$23)/SUM(Mapping!$P$15:$P$23),"")</f>
        <v/>
      </c>
      <c r="BR9" s="65">
        <f>IF(BA9="","",BA9+N(AS9)/10000)</f>
        <v/>
      </c>
    </row>
    <row r="10" ht="30" customHeight="1">
      <c r="A10" s="28" t="n">
        <v>4</v>
      </c>
      <c r="B10" s="29" t="inlineStr">
        <is>
          <t>5th Sem - B</t>
        </is>
      </c>
      <c r="C10" s="29" t="n"/>
      <c r="D10" s="6" t="n"/>
      <c r="E10" s="6" t="n"/>
      <c r="F10" s="29" t="n"/>
      <c r="G10" s="29" t="n"/>
      <c r="H10" s="6" t="n"/>
      <c r="I10" s="29" t="n"/>
      <c r="J10" s="29" t="n"/>
      <c r="K10" s="29" t="n"/>
      <c r="L10" s="29" t="n"/>
      <c r="M10" s="29" t="n"/>
      <c r="N10" s="29" t="n"/>
      <c r="O10" s="29" t="n"/>
      <c r="P10" s="29" t="n"/>
      <c r="Q10" s="29" t="n"/>
      <c r="R10" s="29" t="n"/>
      <c r="S10" s="29" t="n"/>
      <c r="T10" s="29" t="n"/>
      <c r="U10" s="29" t="n"/>
      <c r="V10" s="29" t="n"/>
      <c r="W10" s="29" t="n"/>
      <c r="X10" s="29" t="n"/>
      <c r="Y10" s="29" t="n"/>
      <c r="Z10" s="29" t="n"/>
      <c r="AA10" s="29" t="n"/>
      <c r="AB10" s="29" t="n"/>
      <c r="AC10" s="29" t="n"/>
      <c r="AD10" s="29" t="n"/>
      <c r="AE10" s="29" t="n"/>
      <c r="AF10" s="29" t="n"/>
      <c r="AG10" s="29" t="n"/>
      <c r="AH10" s="29" t="n"/>
      <c r="AI10" s="29" t="n"/>
      <c r="AJ10" s="29" t="n"/>
      <c r="AK10" s="29" t="n"/>
      <c r="AL10" s="29" t="n"/>
      <c r="AM10" s="29" t="n"/>
      <c r="AN10" s="29" t="n"/>
      <c r="AO10" s="29" t="n"/>
      <c r="AP10" s="59">
        <f>IF(COUNT(I10,T10,AE10)=0,"",AVERAGE(I10,T10,AE10))</f>
        <v/>
      </c>
      <c r="AQ10" s="59">
        <f>IF(COUNT(J10,U10,AF10)=0,"",AVERAGE(J10,U10,AF10))</f>
        <v/>
      </c>
      <c r="AR10" s="59">
        <f>IF(COUNT(K10,V10,AG10)=0,"",AVERAGE(K10,V10,AG10))</f>
        <v/>
      </c>
      <c r="AS10" s="59">
        <f>IF(COUNT(L10,W10,AH10)=0,"",AVERAGE(L10,W10,AH10))</f>
        <v/>
      </c>
      <c r="AT10" s="59">
        <f>IF(COUNT(M10,X10,AI10)=0,"",AVERAGE(M10,X10,AI10))</f>
        <v/>
      </c>
      <c r="AU10" s="59">
        <f>IF(COUNT(N10,Y10,AJ10)=0,"",AVERAGE(N10,Y10,AJ10))</f>
        <v/>
      </c>
      <c r="AV10" s="59">
        <f>IF(COUNT(O10,Z10,AK10)=0,"",AVERAGE(O10,Z10,AK10))</f>
        <v/>
      </c>
      <c r="AW10" s="59">
        <f>IF(COUNT(P10,AA10,AL10)=0,"",AVERAGE(P10,AA10,AL10))</f>
        <v/>
      </c>
      <c r="AX10" s="59">
        <f>IF(COUNT(Q10,AB10,AM10)=0,"",AVERAGE(Q10,AB10,AM10))</f>
        <v/>
      </c>
      <c r="AY10" s="60">
        <f>IF(OR($F10="",COUNT(R10,AC10,AN10)=0),"",AVERAGE(R10,AC10,AN10))</f>
        <v/>
      </c>
      <c r="AZ10" s="60">
        <f>IF(OR($G10="",$G10=$F10,COUNT(S10,AD10,AO10)=0),"",AVERAGE(S10,AD10,AO10))</f>
        <v/>
      </c>
      <c r="BA10" s="61">
        <f>IF(COUNT(AP10:AX10)=0,"",SUM(AP10:AX10))</f>
        <v/>
      </c>
      <c r="BB10" s="62">
        <f>IF(BA10="","",BA10/BA$6)</f>
        <v/>
      </c>
      <c r="BC10" s="14">
        <f>IF(BR10="","",COUNTIF($BR$7:$BR$26,"&gt;"&amp;BR10)+COUNTIF($BR$7:BR10,BR10))</f>
        <v/>
      </c>
      <c r="BD10" s="63">
        <f>IF(BC10="","",IF(BC10&lt;=Mapping!$C$11,"Shortlisted","Not shortlisted"))</f>
        <v/>
      </c>
      <c r="BE10" s="64">
        <f>IFERROR((AP10/AP$6*Mapping!$D$15+AQ10/AQ$6*Mapping!$D$16+AR10/AR$6*Mapping!$D$17+AS10/AS$6*Mapping!$D$18+AT10/AT$6*Mapping!$D$19+AU10/AU$6*Mapping!$D$20+AV10/AV$6*Mapping!$D$21+AW10/AW$6*Mapping!$D$22+AX10/AX$6*Mapping!$D$23)/SUM(Mapping!$D$15:$D$23),"")</f>
        <v/>
      </c>
      <c r="BF10" s="64">
        <f>IFERROR((AP10/AP$6*Mapping!$E$15+AQ10/AQ$6*Mapping!$E$16+AR10/AR$6*Mapping!$E$17+AS10/AS$6*Mapping!$E$18+AT10/AT$6*Mapping!$E$19+AU10/AU$6*Mapping!$E$20+AV10/AV$6*Mapping!$E$21+AW10/AW$6*Mapping!$E$22+AX10/AX$6*Mapping!$E$23)/SUM(Mapping!$E$15:$E$23),"")</f>
        <v/>
      </c>
      <c r="BG10" s="64">
        <f>IFERROR((AP10/AP$6*Mapping!$F$15+AQ10/AQ$6*Mapping!$F$16+AR10/AR$6*Mapping!$F$17+AS10/AS$6*Mapping!$F$18+AT10/AT$6*Mapping!$F$19+AU10/AU$6*Mapping!$F$20+AV10/AV$6*Mapping!$F$21+AW10/AW$6*Mapping!$F$22+AX10/AX$6*Mapping!$F$23)/SUM(Mapping!$F$15:$F$23),"")</f>
        <v/>
      </c>
      <c r="BH10" s="64">
        <f>IFERROR((AP10/AP$6*Mapping!$G$15+AQ10/AQ$6*Mapping!$G$16+AR10/AR$6*Mapping!$G$17+AS10/AS$6*Mapping!$G$18+AT10/AT$6*Mapping!$G$19+AU10/AU$6*Mapping!$G$20+AV10/AV$6*Mapping!$G$21+AW10/AW$6*Mapping!$G$22+AX10/AX$6*Mapping!$G$23)/SUM(Mapping!$G$15:$G$23),"")</f>
        <v/>
      </c>
      <c r="BI10" s="64">
        <f>IFERROR((AP10/AP$6*Mapping!$H$15+AQ10/AQ$6*Mapping!$H$16+AR10/AR$6*Mapping!$H$17+AS10/AS$6*Mapping!$H$18+AT10/AT$6*Mapping!$H$19+AU10/AU$6*Mapping!$H$20+AV10/AV$6*Mapping!$H$21+AW10/AW$6*Mapping!$H$22+AX10/AX$6*Mapping!$H$23)/SUM(Mapping!$H$15:$H$23),"")</f>
        <v/>
      </c>
      <c r="BJ10" s="64">
        <f>IFERROR((AP10/AP$6*Mapping!$I$15+AQ10/AQ$6*Mapping!$I$16+AR10/AR$6*Mapping!$I$17+AS10/AS$6*Mapping!$I$18+AT10/AT$6*Mapping!$I$19+AU10/AU$6*Mapping!$I$20+AV10/AV$6*Mapping!$I$21+AW10/AW$6*Mapping!$I$22+AX10/AX$6*Mapping!$I$23)/SUM(Mapping!$I$15:$I$23),"")</f>
        <v/>
      </c>
      <c r="BK10" s="64">
        <f>IFERROR((AP10/AP$6*Mapping!$J$15+AQ10/AQ$6*Mapping!$J$16+AR10/AR$6*Mapping!$J$17+AS10/AS$6*Mapping!$J$18+AT10/AT$6*Mapping!$J$19+AU10/AU$6*Mapping!$J$20+AV10/AV$6*Mapping!$J$21+AW10/AW$6*Mapping!$J$22+AX10/AX$6*Mapping!$J$23)/SUM(Mapping!$J$15:$J$23),"")</f>
        <v/>
      </c>
      <c r="BL10" s="64">
        <f>IFERROR((AP10/AP$6*Mapping!$K$15+AQ10/AQ$6*Mapping!$K$16+AR10/AR$6*Mapping!$K$17+AS10/AS$6*Mapping!$K$18+AT10/AT$6*Mapping!$K$19+AU10/AU$6*Mapping!$K$20+AV10/AV$6*Mapping!$K$21+AW10/AW$6*Mapping!$K$22+AX10/AX$6*Mapping!$K$23)/SUM(Mapping!$K$15:$K$23),"")</f>
        <v/>
      </c>
      <c r="BM10" s="64">
        <f>IFERROR((AP10/AP$6*Mapping!$L$15+AQ10/AQ$6*Mapping!$L$16+AR10/AR$6*Mapping!$L$17+AS10/AS$6*Mapping!$L$18+AT10/AT$6*Mapping!$L$19+AU10/AU$6*Mapping!$L$20+AV10/AV$6*Mapping!$L$21+AW10/AW$6*Mapping!$L$22+AX10/AX$6*Mapping!$L$23)/SUM(Mapping!$L$15:$L$23),"")</f>
        <v/>
      </c>
      <c r="BN10" s="64">
        <f>IFERROR((AP10/AP$6*Mapping!$M$15+AQ10/AQ$6*Mapping!$M$16+AR10/AR$6*Mapping!$M$17+AS10/AS$6*Mapping!$M$18+AT10/AT$6*Mapping!$M$19+AU10/AU$6*Mapping!$M$20+AV10/AV$6*Mapping!$M$21+AW10/AW$6*Mapping!$M$22+AX10/AX$6*Mapping!$M$23)/SUM(Mapping!$M$15:$M$23),"")</f>
        <v/>
      </c>
      <c r="BO10" s="64">
        <f>IFERROR((AP10/AP$6*Mapping!$N$15+AQ10/AQ$6*Mapping!$N$16+AR10/AR$6*Mapping!$N$17+AS10/AS$6*Mapping!$N$18+AT10/AT$6*Mapping!$N$19+AU10/AU$6*Mapping!$N$20+AV10/AV$6*Mapping!$N$21+AW10/AW$6*Mapping!$N$22+AX10/AX$6*Mapping!$N$23)/SUM(Mapping!$N$15:$N$23),"")</f>
        <v/>
      </c>
      <c r="BP10" s="64">
        <f>IFERROR((AP10/AP$6*Mapping!$O$15+AQ10/AQ$6*Mapping!$O$16+AR10/AR$6*Mapping!$O$17+AS10/AS$6*Mapping!$O$18+AT10/AT$6*Mapping!$O$19+AU10/AU$6*Mapping!$O$20+AV10/AV$6*Mapping!$O$21+AW10/AW$6*Mapping!$O$22+AX10/AX$6*Mapping!$O$23)/SUM(Mapping!$O$15:$O$23),"")</f>
        <v/>
      </c>
      <c r="BQ10" s="64">
        <f>IFERROR((AP10/AP$6*Mapping!$P$15+AQ10/AQ$6*Mapping!$P$16+AR10/AR$6*Mapping!$P$17+AS10/AS$6*Mapping!$P$18+AT10/AT$6*Mapping!$P$19+AU10/AU$6*Mapping!$P$20+AV10/AV$6*Mapping!$P$21+AW10/AW$6*Mapping!$P$22+AX10/AX$6*Mapping!$P$23)/SUM(Mapping!$P$15:$P$23),"")</f>
        <v/>
      </c>
      <c r="BR10" s="65">
        <f>IF(BA10="","",BA10+N(AS10)/10000)</f>
        <v/>
      </c>
    </row>
    <row r="11" ht="30" customHeight="1">
      <c r="A11" s="28" t="n">
        <v>5</v>
      </c>
      <c r="B11" s="29" t="inlineStr">
        <is>
          <t>5th Sem - B</t>
        </is>
      </c>
      <c r="C11" s="29" t="n"/>
      <c r="D11" s="6" t="n"/>
      <c r="E11" s="6" t="n"/>
      <c r="F11" s="29" t="n"/>
      <c r="G11" s="29" t="n"/>
      <c r="H11" s="6" t="n"/>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59">
        <f>IF(COUNT(I11,T11,AE11)=0,"",AVERAGE(I11,T11,AE11))</f>
        <v/>
      </c>
      <c r="AQ11" s="59">
        <f>IF(COUNT(J11,U11,AF11)=0,"",AVERAGE(J11,U11,AF11))</f>
        <v/>
      </c>
      <c r="AR11" s="59">
        <f>IF(COUNT(K11,V11,AG11)=0,"",AVERAGE(K11,V11,AG11))</f>
        <v/>
      </c>
      <c r="AS11" s="59">
        <f>IF(COUNT(L11,W11,AH11)=0,"",AVERAGE(L11,W11,AH11))</f>
        <v/>
      </c>
      <c r="AT11" s="59">
        <f>IF(COUNT(M11,X11,AI11)=0,"",AVERAGE(M11,X11,AI11))</f>
        <v/>
      </c>
      <c r="AU11" s="59">
        <f>IF(COUNT(N11,Y11,AJ11)=0,"",AVERAGE(N11,Y11,AJ11))</f>
        <v/>
      </c>
      <c r="AV11" s="59">
        <f>IF(COUNT(O11,Z11,AK11)=0,"",AVERAGE(O11,Z11,AK11))</f>
        <v/>
      </c>
      <c r="AW11" s="59">
        <f>IF(COUNT(P11,AA11,AL11)=0,"",AVERAGE(P11,AA11,AL11))</f>
        <v/>
      </c>
      <c r="AX11" s="59">
        <f>IF(COUNT(Q11,AB11,AM11)=0,"",AVERAGE(Q11,AB11,AM11))</f>
        <v/>
      </c>
      <c r="AY11" s="60">
        <f>IF(OR($F11="",COUNT(R11,AC11,AN11)=0),"",AVERAGE(R11,AC11,AN11))</f>
        <v/>
      </c>
      <c r="AZ11" s="60">
        <f>IF(OR($G11="",$G11=$F11,COUNT(S11,AD11,AO11)=0),"",AVERAGE(S11,AD11,AO11))</f>
        <v/>
      </c>
      <c r="BA11" s="61">
        <f>IF(COUNT(AP11:AX11)=0,"",SUM(AP11:AX11))</f>
        <v/>
      </c>
      <c r="BB11" s="62">
        <f>IF(BA11="","",BA11/BA$6)</f>
        <v/>
      </c>
      <c r="BC11" s="14">
        <f>IF(BR11="","",COUNTIF($BR$7:$BR$26,"&gt;"&amp;BR11)+COUNTIF($BR$7:BR11,BR11))</f>
        <v/>
      </c>
      <c r="BD11" s="63">
        <f>IF(BC11="","",IF(BC11&lt;=Mapping!$C$11,"Shortlisted","Not shortlisted"))</f>
        <v/>
      </c>
      <c r="BE11" s="64">
        <f>IFERROR((AP11/AP$6*Mapping!$D$15+AQ11/AQ$6*Mapping!$D$16+AR11/AR$6*Mapping!$D$17+AS11/AS$6*Mapping!$D$18+AT11/AT$6*Mapping!$D$19+AU11/AU$6*Mapping!$D$20+AV11/AV$6*Mapping!$D$21+AW11/AW$6*Mapping!$D$22+AX11/AX$6*Mapping!$D$23)/SUM(Mapping!$D$15:$D$23),"")</f>
        <v/>
      </c>
      <c r="BF11" s="64">
        <f>IFERROR((AP11/AP$6*Mapping!$E$15+AQ11/AQ$6*Mapping!$E$16+AR11/AR$6*Mapping!$E$17+AS11/AS$6*Mapping!$E$18+AT11/AT$6*Mapping!$E$19+AU11/AU$6*Mapping!$E$20+AV11/AV$6*Mapping!$E$21+AW11/AW$6*Mapping!$E$22+AX11/AX$6*Mapping!$E$23)/SUM(Mapping!$E$15:$E$23),"")</f>
        <v/>
      </c>
      <c r="BG11" s="64">
        <f>IFERROR((AP11/AP$6*Mapping!$F$15+AQ11/AQ$6*Mapping!$F$16+AR11/AR$6*Mapping!$F$17+AS11/AS$6*Mapping!$F$18+AT11/AT$6*Mapping!$F$19+AU11/AU$6*Mapping!$F$20+AV11/AV$6*Mapping!$F$21+AW11/AW$6*Mapping!$F$22+AX11/AX$6*Mapping!$F$23)/SUM(Mapping!$F$15:$F$23),"")</f>
        <v/>
      </c>
      <c r="BH11" s="64">
        <f>IFERROR((AP11/AP$6*Mapping!$G$15+AQ11/AQ$6*Mapping!$G$16+AR11/AR$6*Mapping!$G$17+AS11/AS$6*Mapping!$G$18+AT11/AT$6*Mapping!$G$19+AU11/AU$6*Mapping!$G$20+AV11/AV$6*Mapping!$G$21+AW11/AW$6*Mapping!$G$22+AX11/AX$6*Mapping!$G$23)/SUM(Mapping!$G$15:$G$23),"")</f>
        <v/>
      </c>
      <c r="BI11" s="64">
        <f>IFERROR((AP11/AP$6*Mapping!$H$15+AQ11/AQ$6*Mapping!$H$16+AR11/AR$6*Mapping!$H$17+AS11/AS$6*Mapping!$H$18+AT11/AT$6*Mapping!$H$19+AU11/AU$6*Mapping!$H$20+AV11/AV$6*Mapping!$H$21+AW11/AW$6*Mapping!$H$22+AX11/AX$6*Mapping!$H$23)/SUM(Mapping!$H$15:$H$23),"")</f>
        <v/>
      </c>
      <c r="BJ11" s="64">
        <f>IFERROR((AP11/AP$6*Mapping!$I$15+AQ11/AQ$6*Mapping!$I$16+AR11/AR$6*Mapping!$I$17+AS11/AS$6*Mapping!$I$18+AT11/AT$6*Mapping!$I$19+AU11/AU$6*Mapping!$I$20+AV11/AV$6*Mapping!$I$21+AW11/AW$6*Mapping!$I$22+AX11/AX$6*Mapping!$I$23)/SUM(Mapping!$I$15:$I$23),"")</f>
        <v/>
      </c>
      <c r="BK11" s="64">
        <f>IFERROR((AP11/AP$6*Mapping!$J$15+AQ11/AQ$6*Mapping!$J$16+AR11/AR$6*Mapping!$J$17+AS11/AS$6*Mapping!$J$18+AT11/AT$6*Mapping!$J$19+AU11/AU$6*Mapping!$J$20+AV11/AV$6*Mapping!$J$21+AW11/AW$6*Mapping!$J$22+AX11/AX$6*Mapping!$J$23)/SUM(Mapping!$J$15:$J$23),"")</f>
        <v/>
      </c>
      <c r="BL11" s="64">
        <f>IFERROR((AP11/AP$6*Mapping!$K$15+AQ11/AQ$6*Mapping!$K$16+AR11/AR$6*Mapping!$K$17+AS11/AS$6*Mapping!$K$18+AT11/AT$6*Mapping!$K$19+AU11/AU$6*Mapping!$K$20+AV11/AV$6*Mapping!$K$21+AW11/AW$6*Mapping!$K$22+AX11/AX$6*Mapping!$K$23)/SUM(Mapping!$K$15:$K$23),"")</f>
        <v/>
      </c>
      <c r="BM11" s="64">
        <f>IFERROR((AP11/AP$6*Mapping!$L$15+AQ11/AQ$6*Mapping!$L$16+AR11/AR$6*Mapping!$L$17+AS11/AS$6*Mapping!$L$18+AT11/AT$6*Mapping!$L$19+AU11/AU$6*Mapping!$L$20+AV11/AV$6*Mapping!$L$21+AW11/AW$6*Mapping!$L$22+AX11/AX$6*Mapping!$L$23)/SUM(Mapping!$L$15:$L$23),"")</f>
        <v/>
      </c>
      <c r="BN11" s="64">
        <f>IFERROR((AP11/AP$6*Mapping!$M$15+AQ11/AQ$6*Mapping!$M$16+AR11/AR$6*Mapping!$M$17+AS11/AS$6*Mapping!$M$18+AT11/AT$6*Mapping!$M$19+AU11/AU$6*Mapping!$M$20+AV11/AV$6*Mapping!$M$21+AW11/AW$6*Mapping!$M$22+AX11/AX$6*Mapping!$M$23)/SUM(Mapping!$M$15:$M$23),"")</f>
        <v/>
      </c>
      <c r="BO11" s="64">
        <f>IFERROR((AP11/AP$6*Mapping!$N$15+AQ11/AQ$6*Mapping!$N$16+AR11/AR$6*Mapping!$N$17+AS11/AS$6*Mapping!$N$18+AT11/AT$6*Mapping!$N$19+AU11/AU$6*Mapping!$N$20+AV11/AV$6*Mapping!$N$21+AW11/AW$6*Mapping!$N$22+AX11/AX$6*Mapping!$N$23)/SUM(Mapping!$N$15:$N$23),"")</f>
        <v/>
      </c>
      <c r="BP11" s="64">
        <f>IFERROR((AP11/AP$6*Mapping!$O$15+AQ11/AQ$6*Mapping!$O$16+AR11/AR$6*Mapping!$O$17+AS11/AS$6*Mapping!$O$18+AT11/AT$6*Mapping!$O$19+AU11/AU$6*Mapping!$O$20+AV11/AV$6*Mapping!$O$21+AW11/AW$6*Mapping!$O$22+AX11/AX$6*Mapping!$O$23)/SUM(Mapping!$O$15:$O$23),"")</f>
        <v/>
      </c>
      <c r="BQ11" s="64">
        <f>IFERROR((AP11/AP$6*Mapping!$P$15+AQ11/AQ$6*Mapping!$P$16+AR11/AR$6*Mapping!$P$17+AS11/AS$6*Mapping!$P$18+AT11/AT$6*Mapping!$P$19+AU11/AU$6*Mapping!$P$20+AV11/AV$6*Mapping!$P$21+AW11/AW$6*Mapping!$P$22+AX11/AX$6*Mapping!$P$23)/SUM(Mapping!$P$15:$P$23),"")</f>
        <v/>
      </c>
      <c r="BR11" s="65">
        <f>IF(BA11="","",BA11+N(AS11)/10000)</f>
        <v/>
      </c>
    </row>
    <row r="12" ht="30" customHeight="1">
      <c r="A12" s="28" t="n">
        <v>6</v>
      </c>
      <c r="B12" s="29" t="inlineStr">
        <is>
          <t>5th Sem - B</t>
        </is>
      </c>
      <c r="C12" s="29" t="n"/>
      <c r="D12" s="6" t="n"/>
      <c r="E12" s="6" t="n"/>
      <c r="F12" s="29" t="n"/>
      <c r="G12" s="29" t="n"/>
      <c r="H12" s="6" t="n"/>
      <c r="I12" s="29" t="n"/>
      <c r="J12" s="29" t="n"/>
      <c r="K12" s="29" t="n"/>
      <c r="L12" s="29" t="n"/>
      <c r="M12" s="29" t="n"/>
      <c r="N12" s="29" t="n"/>
      <c r="O12" s="29" t="n"/>
      <c r="P12" s="29" t="n"/>
      <c r="Q12" s="29" t="n"/>
      <c r="R12" s="29" t="n"/>
      <c r="S12" s="29" t="n"/>
      <c r="T12" s="29" t="n"/>
      <c r="U12" s="29" t="n"/>
      <c r="V12" s="29" t="n"/>
      <c r="W12" s="29" t="n"/>
      <c r="X12" s="29" t="n"/>
      <c r="Y12" s="29" t="n"/>
      <c r="Z12" s="29" t="n"/>
      <c r="AA12" s="29" t="n"/>
      <c r="AB12" s="29" t="n"/>
      <c r="AC12" s="29" t="n"/>
      <c r="AD12" s="29" t="n"/>
      <c r="AE12" s="29" t="n"/>
      <c r="AF12" s="29" t="n"/>
      <c r="AG12" s="29" t="n"/>
      <c r="AH12" s="29" t="n"/>
      <c r="AI12" s="29" t="n"/>
      <c r="AJ12" s="29" t="n"/>
      <c r="AK12" s="29" t="n"/>
      <c r="AL12" s="29" t="n"/>
      <c r="AM12" s="29" t="n"/>
      <c r="AN12" s="29" t="n"/>
      <c r="AO12" s="29" t="n"/>
      <c r="AP12" s="59">
        <f>IF(COUNT(I12,T12,AE12)=0,"",AVERAGE(I12,T12,AE12))</f>
        <v/>
      </c>
      <c r="AQ12" s="59">
        <f>IF(COUNT(J12,U12,AF12)=0,"",AVERAGE(J12,U12,AF12))</f>
        <v/>
      </c>
      <c r="AR12" s="59">
        <f>IF(COUNT(K12,V12,AG12)=0,"",AVERAGE(K12,V12,AG12))</f>
        <v/>
      </c>
      <c r="AS12" s="59">
        <f>IF(COUNT(L12,W12,AH12)=0,"",AVERAGE(L12,W12,AH12))</f>
        <v/>
      </c>
      <c r="AT12" s="59">
        <f>IF(COUNT(M12,X12,AI12)=0,"",AVERAGE(M12,X12,AI12))</f>
        <v/>
      </c>
      <c r="AU12" s="59">
        <f>IF(COUNT(N12,Y12,AJ12)=0,"",AVERAGE(N12,Y12,AJ12))</f>
        <v/>
      </c>
      <c r="AV12" s="59">
        <f>IF(COUNT(O12,Z12,AK12)=0,"",AVERAGE(O12,Z12,AK12))</f>
        <v/>
      </c>
      <c r="AW12" s="59">
        <f>IF(COUNT(P12,AA12,AL12)=0,"",AVERAGE(P12,AA12,AL12))</f>
        <v/>
      </c>
      <c r="AX12" s="59">
        <f>IF(COUNT(Q12,AB12,AM12)=0,"",AVERAGE(Q12,AB12,AM12))</f>
        <v/>
      </c>
      <c r="AY12" s="60">
        <f>IF(OR($F12="",COUNT(R12,AC12,AN12)=0),"",AVERAGE(R12,AC12,AN12))</f>
        <v/>
      </c>
      <c r="AZ12" s="60">
        <f>IF(OR($G12="",$G12=$F12,COUNT(S12,AD12,AO12)=0),"",AVERAGE(S12,AD12,AO12))</f>
        <v/>
      </c>
      <c r="BA12" s="61">
        <f>IF(COUNT(AP12:AX12)=0,"",SUM(AP12:AX12))</f>
        <v/>
      </c>
      <c r="BB12" s="62">
        <f>IF(BA12="","",BA12/BA$6)</f>
        <v/>
      </c>
      <c r="BC12" s="14">
        <f>IF(BR12="","",COUNTIF($BR$7:$BR$26,"&gt;"&amp;BR12)+COUNTIF($BR$7:BR12,BR12))</f>
        <v/>
      </c>
      <c r="BD12" s="63">
        <f>IF(BC12="","",IF(BC12&lt;=Mapping!$C$11,"Shortlisted","Not shortlisted"))</f>
        <v/>
      </c>
      <c r="BE12" s="64">
        <f>IFERROR((AP12/AP$6*Mapping!$D$15+AQ12/AQ$6*Mapping!$D$16+AR12/AR$6*Mapping!$D$17+AS12/AS$6*Mapping!$D$18+AT12/AT$6*Mapping!$D$19+AU12/AU$6*Mapping!$D$20+AV12/AV$6*Mapping!$D$21+AW12/AW$6*Mapping!$D$22+AX12/AX$6*Mapping!$D$23)/SUM(Mapping!$D$15:$D$23),"")</f>
        <v/>
      </c>
      <c r="BF12" s="64">
        <f>IFERROR((AP12/AP$6*Mapping!$E$15+AQ12/AQ$6*Mapping!$E$16+AR12/AR$6*Mapping!$E$17+AS12/AS$6*Mapping!$E$18+AT12/AT$6*Mapping!$E$19+AU12/AU$6*Mapping!$E$20+AV12/AV$6*Mapping!$E$21+AW12/AW$6*Mapping!$E$22+AX12/AX$6*Mapping!$E$23)/SUM(Mapping!$E$15:$E$23),"")</f>
        <v/>
      </c>
      <c r="BG12" s="64">
        <f>IFERROR((AP12/AP$6*Mapping!$F$15+AQ12/AQ$6*Mapping!$F$16+AR12/AR$6*Mapping!$F$17+AS12/AS$6*Mapping!$F$18+AT12/AT$6*Mapping!$F$19+AU12/AU$6*Mapping!$F$20+AV12/AV$6*Mapping!$F$21+AW12/AW$6*Mapping!$F$22+AX12/AX$6*Mapping!$F$23)/SUM(Mapping!$F$15:$F$23),"")</f>
        <v/>
      </c>
      <c r="BH12" s="64">
        <f>IFERROR((AP12/AP$6*Mapping!$G$15+AQ12/AQ$6*Mapping!$G$16+AR12/AR$6*Mapping!$G$17+AS12/AS$6*Mapping!$G$18+AT12/AT$6*Mapping!$G$19+AU12/AU$6*Mapping!$G$20+AV12/AV$6*Mapping!$G$21+AW12/AW$6*Mapping!$G$22+AX12/AX$6*Mapping!$G$23)/SUM(Mapping!$G$15:$G$23),"")</f>
        <v/>
      </c>
      <c r="BI12" s="64">
        <f>IFERROR((AP12/AP$6*Mapping!$H$15+AQ12/AQ$6*Mapping!$H$16+AR12/AR$6*Mapping!$H$17+AS12/AS$6*Mapping!$H$18+AT12/AT$6*Mapping!$H$19+AU12/AU$6*Mapping!$H$20+AV12/AV$6*Mapping!$H$21+AW12/AW$6*Mapping!$H$22+AX12/AX$6*Mapping!$H$23)/SUM(Mapping!$H$15:$H$23),"")</f>
        <v/>
      </c>
      <c r="BJ12" s="64">
        <f>IFERROR((AP12/AP$6*Mapping!$I$15+AQ12/AQ$6*Mapping!$I$16+AR12/AR$6*Mapping!$I$17+AS12/AS$6*Mapping!$I$18+AT12/AT$6*Mapping!$I$19+AU12/AU$6*Mapping!$I$20+AV12/AV$6*Mapping!$I$21+AW12/AW$6*Mapping!$I$22+AX12/AX$6*Mapping!$I$23)/SUM(Mapping!$I$15:$I$23),"")</f>
        <v/>
      </c>
      <c r="BK12" s="64">
        <f>IFERROR((AP12/AP$6*Mapping!$J$15+AQ12/AQ$6*Mapping!$J$16+AR12/AR$6*Mapping!$J$17+AS12/AS$6*Mapping!$J$18+AT12/AT$6*Mapping!$J$19+AU12/AU$6*Mapping!$J$20+AV12/AV$6*Mapping!$J$21+AW12/AW$6*Mapping!$J$22+AX12/AX$6*Mapping!$J$23)/SUM(Mapping!$J$15:$J$23),"")</f>
        <v/>
      </c>
      <c r="BL12" s="64">
        <f>IFERROR((AP12/AP$6*Mapping!$K$15+AQ12/AQ$6*Mapping!$K$16+AR12/AR$6*Mapping!$K$17+AS12/AS$6*Mapping!$K$18+AT12/AT$6*Mapping!$K$19+AU12/AU$6*Mapping!$K$20+AV12/AV$6*Mapping!$K$21+AW12/AW$6*Mapping!$K$22+AX12/AX$6*Mapping!$K$23)/SUM(Mapping!$K$15:$K$23),"")</f>
        <v/>
      </c>
      <c r="BM12" s="64">
        <f>IFERROR((AP12/AP$6*Mapping!$L$15+AQ12/AQ$6*Mapping!$L$16+AR12/AR$6*Mapping!$L$17+AS12/AS$6*Mapping!$L$18+AT12/AT$6*Mapping!$L$19+AU12/AU$6*Mapping!$L$20+AV12/AV$6*Mapping!$L$21+AW12/AW$6*Mapping!$L$22+AX12/AX$6*Mapping!$L$23)/SUM(Mapping!$L$15:$L$23),"")</f>
        <v/>
      </c>
      <c r="BN12" s="64">
        <f>IFERROR((AP12/AP$6*Mapping!$M$15+AQ12/AQ$6*Mapping!$M$16+AR12/AR$6*Mapping!$M$17+AS12/AS$6*Mapping!$M$18+AT12/AT$6*Mapping!$M$19+AU12/AU$6*Mapping!$M$20+AV12/AV$6*Mapping!$M$21+AW12/AW$6*Mapping!$M$22+AX12/AX$6*Mapping!$M$23)/SUM(Mapping!$M$15:$M$23),"")</f>
        <v/>
      </c>
      <c r="BO12" s="64">
        <f>IFERROR((AP12/AP$6*Mapping!$N$15+AQ12/AQ$6*Mapping!$N$16+AR12/AR$6*Mapping!$N$17+AS12/AS$6*Mapping!$N$18+AT12/AT$6*Mapping!$N$19+AU12/AU$6*Mapping!$N$20+AV12/AV$6*Mapping!$N$21+AW12/AW$6*Mapping!$N$22+AX12/AX$6*Mapping!$N$23)/SUM(Mapping!$N$15:$N$23),"")</f>
        <v/>
      </c>
      <c r="BP12" s="64">
        <f>IFERROR((AP12/AP$6*Mapping!$O$15+AQ12/AQ$6*Mapping!$O$16+AR12/AR$6*Mapping!$O$17+AS12/AS$6*Mapping!$O$18+AT12/AT$6*Mapping!$O$19+AU12/AU$6*Mapping!$O$20+AV12/AV$6*Mapping!$O$21+AW12/AW$6*Mapping!$O$22+AX12/AX$6*Mapping!$O$23)/SUM(Mapping!$O$15:$O$23),"")</f>
        <v/>
      </c>
      <c r="BQ12" s="64">
        <f>IFERROR((AP12/AP$6*Mapping!$P$15+AQ12/AQ$6*Mapping!$P$16+AR12/AR$6*Mapping!$P$17+AS12/AS$6*Mapping!$P$18+AT12/AT$6*Mapping!$P$19+AU12/AU$6*Mapping!$P$20+AV12/AV$6*Mapping!$P$21+AW12/AW$6*Mapping!$P$22+AX12/AX$6*Mapping!$P$23)/SUM(Mapping!$P$15:$P$23),"")</f>
        <v/>
      </c>
      <c r="BR12" s="65">
        <f>IF(BA12="","",BA12+N(AS12)/10000)</f>
        <v/>
      </c>
    </row>
    <row r="13" ht="30" customHeight="1">
      <c r="A13" s="28" t="n">
        <v>7</v>
      </c>
      <c r="B13" s="29" t="inlineStr">
        <is>
          <t>5th Sem - B</t>
        </is>
      </c>
      <c r="C13" s="29" t="n"/>
      <c r="D13" s="6" t="n"/>
      <c r="E13" s="6" t="n"/>
      <c r="F13" s="29" t="n"/>
      <c r="G13" s="29" t="n"/>
      <c r="H13" s="6" t="n"/>
      <c r="I13" s="29" t="n"/>
      <c r="J13" s="29" t="n"/>
      <c r="K13" s="29" t="n"/>
      <c r="L13" s="29" t="n"/>
      <c r="M13" s="29" t="n"/>
      <c r="N13" s="29" t="n"/>
      <c r="O13" s="29" t="n"/>
      <c r="P13" s="29" t="n"/>
      <c r="Q13" s="29" t="n"/>
      <c r="R13" s="29" t="n"/>
      <c r="S13" s="29" t="n"/>
      <c r="T13" s="29" t="n"/>
      <c r="U13" s="29" t="n"/>
      <c r="V13" s="29" t="n"/>
      <c r="W13" s="29" t="n"/>
      <c r="X13" s="29" t="n"/>
      <c r="Y13" s="29" t="n"/>
      <c r="Z13" s="29" t="n"/>
      <c r="AA13" s="29" t="n"/>
      <c r="AB13" s="29" t="n"/>
      <c r="AC13" s="29" t="n"/>
      <c r="AD13" s="29" t="n"/>
      <c r="AE13" s="29" t="n"/>
      <c r="AF13" s="29" t="n"/>
      <c r="AG13" s="29" t="n"/>
      <c r="AH13" s="29" t="n"/>
      <c r="AI13" s="29" t="n"/>
      <c r="AJ13" s="29" t="n"/>
      <c r="AK13" s="29" t="n"/>
      <c r="AL13" s="29" t="n"/>
      <c r="AM13" s="29" t="n"/>
      <c r="AN13" s="29" t="n"/>
      <c r="AO13" s="29" t="n"/>
      <c r="AP13" s="59">
        <f>IF(COUNT(I13,T13,AE13)=0,"",AVERAGE(I13,T13,AE13))</f>
        <v/>
      </c>
      <c r="AQ13" s="59">
        <f>IF(COUNT(J13,U13,AF13)=0,"",AVERAGE(J13,U13,AF13))</f>
        <v/>
      </c>
      <c r="AR13" s="59">
        <f>IF(COUNT(K13,V13,AG13)=0,"",AVERAGE(K13,V13,AG13))</f>
        <v/>
      </c>
      <c r="AS13" s="59">
        <f>IF(COUNT(L13,W13,AH13)=0,"",AVERAGE(L13,W13,AH13))</f>
        <v/>
      </c>
      <c r="AT13" s="59">
        <f>IF(COUNT(M13,X13,AI13)=0,"",AVERAGE(M13,X13,AI13))</f>
        <v/>
      </c>
      <c r="AU13" s="59">
        <f>IF(COUNT(N13,Y13,AJ13)=0,"",AVERAGE(N13,Y13,AJ13))</f>
        <v/>
      </c>
      <c r="AV13" s="59">
        <f>IF(COUNT(O13,Z13,AK13)=0,"",AVERAGE(O13,Z13,AK13))</f>
        <v/>
      </c>
      <c r="AW13" s="59">
        <f>IF(COUNT(P13,AA13,AL13)=0,"",AVERAGE(P13,AA13,AL13))</f>
        <v/>
      </c>
      <c r="AX13" s="59">
        <f>IF(COUNT(Q13,AB13,AM13)=0,"",AVERAGE(Q13,AB13,AM13))</f>
        <v/>
      </c>
      <c r="AY13" s="60">
        <f>IF(OR($F13="",COUNT(R13,AC13,AN13)=0),"",AVERAGE(R13,AC13,AN13))</f>
        <v/>
      </c>
      <c r="AZ13" s="60">
        <f>IF(OR($G13="",$G13=$F13,COUNT(S13,AD13,AO13)=0),"",AVERAGE(S13,AD13,AO13))</f>
        <v/>
      </c>
      <c r="BA13" s="61">
        <f>IF(COUNT(AP13:AX13)=0,"",SUM(AP13:AX13))</f>
        <v/>
      </c>
      <c r="BB13" s="62">
        <f>IF(BA13="","",BA13/BA$6)</f>
        <v/>
      </c>
      <c r="BC13" s="14">
        <f>IF(BR13="","",COUNTIF($BR$7:$BR$26,"&gt;"&amp;BR13)+COUNTIF($BR$7:BR13,BR13))</f>
        <v/>
      </c>
      <c r="BD13" s="63">
        <f>IF(BC13="","",IF(BC13&lt;=Mapping!$C$11,"Shortlisted","Not shortlisted"))</f>
        <v/>
      </c>
      <c r="BE13" s="64">
        <f>IFERROR((AP13/AP$6*Mapping!$D$15+AQ13/AQ$6*Mapping!$D$16+AR13/AR$6*Mapping!$D$17+AS13/AS$6*Mapping!$D$18+AT13/AT$6*Mapping!$D$19+AU13/AU$6*Mapping!$D$20+AV13/AV$6*Mapping!$D$21+AW13/AW$6*Mapping!$D$22+AX13/AX$6*Mapping!$D$23)/SUM(Mapping!$D$15:$D$23),"")</f>
        <v/>
      </c>
      <c r="BF13" s="64">
        <f>IFERROR((AP13/AP$6*Mapping!$E$15+AQ13/AQ$6*Mapping!$E$16+AR13/AR$6*Mapping!$E$17+AS13/AS$6*Mapping!$E$18+AT13/AT$6*Mapping!$E$19+AU13/AU$6*Mapping!$E$20+AV13/AV$6*Mapping!$E$21+AW13/AW$6*Mapping!$E$22+AX13/AX$6*Mapping!$E$23)/SUM(Mapping!$E$15:$E$23),"")</f>
        <v/>
      </c>
      <c r="BG13" s="64">
        <f>IFERROR((AP13/AP$6*Mapping!$F$15+AQ13/AQ$6*Mapping!$F$16+AR13/AR$6*Mapping!$F$17+AS13/AS$6*Mapping!$F$18+AT13/AT$6*Mapping!$F$19+AU13/AU$6*Mapping!$F$20+AV13/AV$6*Mapping!$F$21+AW13/AW$6*Mapping!$F$22+AX13/AX$6*Mapping!$F$23)/SUM(Mapping!$F$15:$F$23),"")</f>
        <v/>
      </c>
      <c r="BH13" s="64">
        <f>IFERROR((AP13/AP$6*Mapping!$G$15+AQ13/AQ$6*Mapping!$G$16+AR13/AR$6*Mapping!$G$17+AS13/AS$6*Mapping!$G$18+AT13/AT$6*Mapping!$G$19+AU13/AU$6*Mapping!$G$20+AV13/AV$6*Mapping!$G$21+AW13/AW$6*Mapping!$G$22+AX13/AX$6*Mapping!$G$23)/SUM(Mapping!$G$15:$G$23),"")</f>
        <v/>
      </c>
      <c r="BI13" s="64">
        <f>IFERROR((AP13/AP$6*Mapping!$H$15+AQ13/AQ$6*Mapping!$H$16+AR13/AR$6*Mapping!$H$17+AS13/AS$6*Mapping!$H$18+AT13/AT$6*Mapping!$H$19+AU13/AU$6*Mapping!$H$20+AV13/AV$6*Mapping!$H$21+AW13/AW$6*Mapping!$H$22+AX13/AX$6*Mapping!$H$23)/SUM(Mapping!$H$15:$H$23),"")</f>
        <v/>
      </c>
      <c r="BJ13" s="64">
        <f>IFERROR((AP13/AP$6*Mapping!$I$15+AQ13/AQ$6*Mapping!$I$16+AR13/AR$6*Mapping!$I$17+AS13/AS$6*Mapping!$I$18+AT13/AT$6*Mapping!$I$19+AU13/AU$6*Mapping!$I$20+AV13/AV$6*Mapping!$I$21+AW13/AW$6*Mapping!$I$22+AX13/AX$6*Mapping!$I$23)/SUM(Mapping!$I$15:$I$23),"")</f>
        <v/>
      </c>
      <c r="BK13" s="64">
        <f>IFERROR((AP13/AP$6*Mapping!$J$15+AQ13/AQ$6*Mapping!$J$16+AR13/AR$6*Mapping!$J$17+AS13/AS$6*Mapping!$J$18+AT13/AT$6*Mapping!$J$19+AU13/AU$6*Mapping!$J$20+AV13/AV$6*Mapping!$J$21+AW13/AW$6*Mapping!$J$22+AX13/AX$6*Mapping!$J$23)/SUM(Mapping!$J$15:$J$23),"")</f>
        <v/>
      </c>
      <c r="BL13" s="64">
        <f>IFERROR((AP13/AP$6*Mapping!$K$15+AQ13/AQ$6*Mapping!$K$16+AR13/AR$6*Mapping!$K$17+AS13/AS$6*Mapping!$K$18+AT13/AT$6*Mapping!$K$19+AU13/AU$6*Mapping!$K$20+AV13/AV$6*Mapping!$K$21+AW13/AW$6*Mapping!$K$22+AX13/AX$6*Mapping!$K$23)/SUM(Mapping!$K$15:$K$23),"")</f>
        <v/>
      </c>
      <c r="BM13" s="64">
        <f>IFERROR((AP13/AP$6*Mapping!$L$15+AQ13/AQ$6*Mapping!$L$16+AR13/AR$6*Mapping!$L$17+AS13/AS$6*Mapping!$L$18+AT13/AT$6*Mapping!$L$19+AU13/AU$6*Mapping!$L$20+AV13/AV$6*Mapping!$L$21+AW13/AW$6*Mapping!$L$22+AX13/AX$6*Mapping!$L$23)/SUM(Mapping!$L$15:$L$23),"")</f>
        <v/>
      </c>
      <c r="BN13" s="64">
        <f>IFERROR((AP13/AP$6*Mapping!$M$15+AQ13/AQ$6*Mapping!$M$16+AR13/AR$6*Mapping!$M$17+AS13/AS$6*Mapping!$M$18+AT13/AT$6*Mapping!$M$19+AU13/AU$6*Mapping!$M$20+AV13/AV$6*Mapping!$M$21+AW13/AW$6*Mapping!$M$22+AX13/AX$6*Mapping!$M$23)/SUM(Mapping!$M$15:$M$23),"")</f>
        <v/>
      </c>
      <c r="BO13" s="64">
        <f>IFERROR((AP13/AP$6*Mapping!$N$15+AQ13/AQ$6*Mapping!$N$16+AR13/AR$6*Mapping!$N$17+AS13/AS$6*Mapping!$N$18+AT13/AT$6*Mapping!$N$19+AU13/AU$6*Mapping!$N$20+AV13/AV$6*Mapping!$N$21+AW13/AW$6*Mapping!$N$22+AX13/AX$6*Mapping!$N$23)/SUM(Mapping!$N$15:$N$23),"")</f>
        <v/>
      </c>
      <c r="BP13" s="64">
        <f>IFERROR((AP13/AP$6*Mapping!$O$15+AQ13/AQ$6*Mapping!$O$16+AR13/AR$6*Mapping!$O$17+AS13/AS$6*Mapping!$O$18+AT13/AT$6*Mapping!$O$19+AU13/AU$6*Mapping!$O$20+AV13/AV$6*Mapping!$O$21+AW13/AW$6*Mapping!$O$22+AX13/AX$6*Mapping!$O$23)/SUM(Mapping!$O$15:$O$23),"")</f>
        <v/>
      </c>
      <c r="BQ13" s="64">
        <f>IFERROR((AP13/AP$6*Mapping!$P$15+AQ13/AQ$6*Mapping!$P$16+AR13/AR$6*Mapping!$P$17+AS13/AS$6*Mapping!$P$18+AT13/AT$6*Mapping!$P$19+AU13/AU$6*Mapping!$P$20+AV13/AV$6*Mapping!$P$21+AW13/AW$6*Mapping!$P$22+AX13/AX$6*Mapping!$P$23)/SUM(Mapping!$P$15:$P$23),"")</f>
        <v/>
      </c>
      <c r="BR13" s="65">
        <f>IF(BA13="","",BA13+N(AS13)/10000)</f>
        <v/>
      </c>
    </row>
    <row r="14" ht="30" customHeight="1">
      <c r="A14" s="28" t="n">
        <v>8</v>
      </c>
      <c r="B14" s="29" t="inlineStr">
        <is>
          <t>5th Sem - B</t>
        </is>
      </c>
      <c r="C14" s="29" t="n"/>
      <c r="D14" s="6" t="n"/>
      <c r="E14" s="6" t="n"/>
      <c r="F14" s="29" t="n"/>
      <c r="G14" s="29" t="n"/>
      <c r="H14" s="6" t="n"/>
      <c r="I14" s="29" t="n"/>
      <c r="J14" s="29" t="n"/>
      <c r="K14" s="29" t="n"/>
      <c r="L14" s="29" t="n"/>
      <c r="M14" s="29" t="n"/>
      <c r="N14" s="29" t="n"/>
      <c r="O14" s="29" t="n"/>
      <c r="P14" s="29" t="n"/>
      <c r="Q14" s="29" t="n"/>
      <c r="R14" s="29" t="n"/>
      <c r="S14" s="29" t="n"/>
      <c r="T14" s="29" t="n"/>
      <c r="U14" s="29" t="n"/>
      <c r="V14" s="29" t="n"/>
      <c r="W14" s="29" t="n"/>
      <c r="X14" s="29" t="n"/>
      <c r="Y14" s="29" t="n"/>
      <c r="Z14" s="29" t="n"/>
      <c r="AA14" s="29" t="n"/>
      <c r="AB14" s="29" t="n"/>
      <c r="AC14" s="29" t="n"/>
      <c r="AD14" s="29" t="n"/>
      <c r="AE14" s="29" t="n"/>
      <c r="AF14" s="29" t="n"/>
      <c r="AG14" s="29" t="n"/>
      <c r="AH14" s="29" t="n"/>
      <c r="AI14" s="29" t="n"/>
      <c r="AJ14" s="29" t="n"/>
      <c r="AK14" s="29" t="n"/>
      <c r="AL14" s="29" t="n"/>
      <c r="AM14" s="29" t="n"/>
      <c r="AN14" s="29" t="n"/>
      <c r="AO14" s="29" t="n"/>
      <c r="AP14" s="59">
        <f>IF(COUNT(I14,T14,AE14)=0,"",AVERAGE(I14,T14,AE14))</f>
        <v/>
      </c>
      <c r="AQ14" s="59">
        <f>IF(COUNT(J14,U14,AF14)=0,"",AVERAGE(J14,U14,AF14))</f>
        <v/>
      </c>
      <c r="AR14" s="59">
        <f>IF(COUNT(K14,V14,AG14)=0,"",AVERAGE(K14,V14,AG14))</f>
        <v/>
      </c>
      <c r="AS14" s="59">
        <f>IF(COUNT(L14,W14,AH14)=0,"",AVERAGE(L14,W14,AH14))</f>
        <v/>
      </c>
      <c r="AT14" s="59">
        <f>IF(COUNT(M14,X14,AI14)=0,"",AVERAGE(M14,X14,AI14))</f>
        <v/>
      </c>
      <c r="AU14" s="59">
        <f>IF(COUNT(N14,Y14,AJ14)=0,"",AVERAGE(N14,Y14,AJ14))</f>
        <v/>
      </c>
      <c r="AV14" s="59">
        <f>IF(COUNT(O14,Z14,AK14)=0,"",AVERAGE(O14,Z14,AK14))</f>
        <v/>
      </c>
      <c r="AW14" s="59">
        <f>IF(COUNT(P14,AA14,AL14)=0,"",AVERAGE(P14,AA14,AL14))</f>
        <v/>
      </c>
      <c r="AX14" s="59">
        <f>IF(COUNT(Q14,AB14,AM14)=0,"",AVERAGE(Q14,AB14,AM14))</f>
        <v/>
      </c>
      <c r="AY14" s="60">
        <f>IF(OR($F14="",COUNT(R14,AC14,AN14)=0),"",AVERAGE(R14,AC14,AN14))</f>
        <v/>
      </c>
      <c r="AZ14" s="60">
        <f>IF(OR($G14="",$G14=$F14,COUNT(S14,AD14,AO14)=0),"",AVERAGE(S14,AD14,AO14))</f>
        <v/>
      </c>
      <c r="BA14" s="61">
        <f>IF(COUNT(AP14:AX14)=0,"",SUM(AP14:AX14))</f>
        <v/>
      </c>
      <c r="BB14" s="62">
        <f>IF(BA14="","",BA14/BA$6)</f>
        <v/>
      </c>
      <c r="BC14" s="14">
        <f>IF(BR14="","",COUNTIF($BR$7:$BR$26,"&gt;"&amp;BR14)+COUNTIF($BR$7:BR14,BR14))</f>
        <v/>
      </c>
      <c r="BD14" s="63">
        <f>IF(BC14="","",IF(BC14&lt;=Mapping!$C$11,"Shortlisted","Not shortlisted"))</f>
        <v/>
      </c>
      <c r="BE14" s="64">
        <f>IFERROR((AP14/AP$6*Mapping!$D$15+AQ14/AQ$6*Mapping!$D$16+AR14/AR$6*Mapping!$D$17+AS14/AS$6*Mapping!$D$18+AT14/AT$6*Mapping!$D$19+AU14/AU$6*Mapping!$D$20+AV14/AV$6*Mapping!$D$21+AW14/AW$6*Mapping!$D$22+AX14/AX$6*Mapping!$D$23)/SUM(Mapping!$D$15:$D$23),"")</f>
        <v/>
      </c>
      <c r="BF14" s="64">
        <f>IFERROR((AP14/AP$6*Mapping!$E$15+AQ14/AQ$6*Mapping!$E$16+AR14/AR$6*Mapping!$E$17+AS14/AS$6*Mapping!$E$18+AT14/AT$6*Mapping!$E$19+AU14/AU$6*Mapping!$E$20+AV14/AV$6*Mapping!$E$21+AW14/AW$6*Mapping!$E$22+AX14/AX$6*Mapping!$E$23)/SUM(Mapping!$E$15:$E$23),"")</f>
        <v/>
      </c>
      <c r="BG14" s="64">
        <f>IFERROR((AP14/AP$6*Mapping!$F$15+AQ14/AQ$6*Mapping!$F$16+AR14/AR$6*Mapping!$F$17+AS14/AS$6*Mapping!$F$18+AT14/AT$6*Mapping!$F$19+AU14/AU$6*Mapping!$F$20+AV14/AV$6*Mapping!$F$21+AW14/AW$6*Mapping!$F$22+AX14/AX$6*Mapping!$F$23)/SUM(Mapping!$F$15:$F$23),"")</f>
        <v/>
      </c>
      <c r="BH14" s="64">
        <f>IFERROR((AP14/AP$6*Mapping!$G$15+AQ14/AQ$6*Mapping!$G$16+AR14/AR$6*Mapping!$G$17+AS14/AS$6*Mapping!$G$18+AT14/AT$6*Mapping!$G$19+AU14/AU$6*Mapping!$G$20+AV14/AV$6*Mapping!$G$21+AW14/AW$6*Mapping!$G$22+AX14/AX$6*Mapping!$G$23)/SUM(Mapping!$G$15:$G$23),"")</f>
        <v/>
      </c>
      <c r="BI14" s="64">
        <f>IFERROR((AP14/AP$6*Mapping!$H$15+AQ14/AQ$6*Mapping!$H$16+AR14/AR$6*Mapping!$H$17+AS14/AS$6*Mapping!$H$18+AT14/AT$6*Mapping!$H$19+AU14/AU$6*Mapping!$H$20+AV14/AV$6*Mapping!$H$21+AW14/AW$6*Mapping!$H$22+AX14/AX$6*Mapping!$H$23)/SUM(Mapping!$H$15:$H$23),"")</f>
        <v/>
      </c>
      <c r="BJ14" s="64">
        <f>IFERROR((AP14/AP$6*Mapping!$I$15+AQ14/AQ$6*Mapping!$I$16+AR14/AR$6*Mapping!$I$17+AS14/AS$6*Mapping!$I$18+AT14/AT$6*Mapping!$I$19+AU14/AU$6*Mapping!$I$20+AV14/AV$6*Mapping!$I$21+AW14/AW$6*Mapping!$I$22+AX14/AX$6*Mapping!$I$23)/SUM(Mapping!$I$15:$I$23),"")</f>
        <v/>
      </c>
      <c r="BK14" s="64">
        <f>IFERROR((AP14/AP$6*Mapping!$J$15+AQ14/AQ$6*Mapping!$J$16+AR14/AR$6*Mapping!$J$17+AS14/AS$6*Mapping!$J$18+AT14/AT$6*Mapping!$J$19+AU14/AU$6*Mapping!$J$20+AV14/AV$6*Mapping!$J$21+AW14/AW$6*Mapping!$J$22+AX14/AX$6*Mapping!$J$23)/SUM(Mapping!$J$15:$J$23),"")</f>
        <v/>
      </c>
      <c r="BL14" s="64">
        <f>IFERROR((AP14/AP$6*Mapping!$K$15+AQ14/AQ$6*Mapping!$K$16+AR14/AR$6*Mapping!$K$17+AS14/AS$6*Mapping!$K$18+AT14/AT$6*Mapping!$K$19+AU14/AU$6*Mapping!$K$20+AV14/AV$6*Mapping!$K$21+AW14/AW$6*Mapping!$K$22+AX14/AX$6*Mapping!$K$23)/SUM(Mapping!$K$15:$K$23),"")</f>
        <v/>
      </c>
      <c r="BM14" s="64">
        <f>IFERROR((AP14/AP$6*Mapping!$L$15+AQ14/AQ$6*Mapping!$L$16+AR14/AR$6*Mapping!$L$17+AS14/AS$6*Mapping!$L$18+AT14/AT$6*Mapping!$L$19+AU14/AU$6*Mapping!$L$20+AV14/AV$6*Mapping!$L$21+AW14/AW$6*Mapping!$L$22+AX14/AX$6*Mapping!$L$23)/SUM(Mapping!$L$15:$L$23),"")</f>
        <v/>
      </c>
      <c r="BN14" s="64">
        <f>IFERROR((AP14/AP$6*Mapping!$M$15+AQ14/AQ$6*Mapping!$M$16+AR14/AR$6*Mapping!$M$17+AS14/AS$6*Mapping!$M$18+AT14/AT$6*Mapping!$M$19+AU14/AU$6*Mapping!$M$20+AV14/AV$6*Mapping!$M$21+AW14/AW$6*Mapping!$M$22+AX14/AX$6*Mapping!$M$23)/SUM(Mapping!$M$15:$M$23),"")</f>
        <v/>
      </c>
      <c r="BO14" s="64">
        <f>IFERROR((AP14/AP$6*Mapping!$N$15+AQ14/AQ$6*Mapping!$N$16+AR14/AR$6*Mapping!$N$17+AS14/AS$6*Mapping!$N$18+AT14/AT$6*Mapping!$N$19+AU14/AU$6*Mapping!$N$20+AV14/AV$6*Mapping!$N$21+AW14/AW$6*Mapping!$N$22+AX14/AX$6*Mapping!$N$23)/SUM(Mapping!$N$15:$N$23),"")</f>
        <v/>
      </c>
      <c r="BP14" s="64">
        <f>IFERROR((AP14/AP$6*Mapping!$O$15+AQ14/AQ$6*Mapping!$O$16+AR14/AR$6*Mapping!$O$17+AS14/AS$6*Mapping!$O$18+AT14/AT$6*Mapping!$O$19+AU14/AU$6*Mapping!$O$20+AV14/AV$6*Mapping!$O$21+AW14/AW$6*Mapping!$O$22+AX14/AX$6*Mapping!$O$23)/SUM(Mapping!$O$15:$O$23),"")</f>
        <v/>
      </c>
      <c r="BQ14" s="64">
        <f>IFERROR((AP14/AP$6*Mapping!$P$15+AQ14/AQ$6*Mapping!$P$16+AR14/AR$6*Mapping!$P$17+AS14/AS$6*Mapping!$P$18+AT14/AT$6*Mapping!$P$19+AU14/AU$6*Mapping!$P$20+AV14/AV$6*Mapping!$P$21+AW14/AW$6*Mapping!$P$22+AX14/AX$6*Mapping!$P$23)/SUM(Mapping!$P$15:$P$23),"")</f>
        <v/>
      </c>
      <c r="BR14" s="65">
        <f>IF(BA14="","",BA14+N(AS14)/10000)</f>
        <v/>
      </c>
    </row>
    <row r="15" ht="30" customHeight="1">
      <c r="A15" s="28" t="n">
        <v>9</v>
      </c>
      <c r="B15" s="29" t="inlineStr">
        <is>
          <t>5th Sem - B</t>
        </is>
      </c>
      <c r="C15" s="29" t="n"/>
      <c r="D15" s="6" t="n"/>
      <c r="E15" s="6" t="n"/>
      <c r="F15" s="29" t="n"/>
      <c r="G15" s="29" t="n"/>
      <c r="H15" s="6" t="n"/>
      <c r="I15" s="29" t="n"/>
      <c r="J15" s="29" t="n"/>
      <c r="K15" s="29" t="n"/>
      <c r="L15" s="29" t="n"/>
      <c r="M15" s="29" t="n"/>
      <c r="N15" s="29" t="n"/>
      <c r="O15" s="29" t="n"/>
      <c r="P15" s="29" t="n"/>
      <c r="Q15" s="29" t="n"/>
      <c r="R15" s="29" t="n"/>
      <c r="S15" s="29" t="n"/>
      <c r="T15" s="29" t="n"/>
      <c r="U15" s="29" t="n"/>
      <c r="V15" s="29" t="n"/>
      <c r="W15" s="29" t="n"/>
      <c r="X15" s="29" t="n"/>
      <c r="Y15" s="29" t="n"/>
      <c r="Z15" s="29" t="n"/>
      <c r="AA15" s="29" t="n"/>
      <c r="AB15" s="29" t="n"/>
      <c r="AC15" s="29" t="n"/>
      <c r="AD15" s="29" t="n"/>
      <c r="AE15" s="29" t="n"/>
      <c r="AF15" s="29" t="n"/>
      <c r="AG15" s="29" t="n"/>
      <c r="AH15" s="29" t="n"/>
      <c r="AI15" s="29" t="n"/>
      <c r="AJ15" s="29" t="n"/>
      <c r="AK15" s="29" t="n"/>
      <c r="AL15" s="29" t="n"/>
      <c r="AM15" s="29" t="n"/>
      <c r="AN15" s="29" t="n"/>
      <c r="AO15" s="29" t="n"/>
      <c r="AP15" s="59">
        <f>IF(COUNT(I15,T15,AE15)=0,"",AVERAGE(I15,T15,AE15))</f>
        <v/>
      </c>
      <c r="AQ15" s="59">
        <f>IF(COUNT(J15,U15,AF15)=0,"",AVERAGE(J15,U15,AF15))</f>
        <v/>
      </c>
      <c r="AR15" s="59">
        <f>IF(COUNT(K15,V15,AG15)=0,"",AVERAGE(K15,V15,AG15))</f>
        <v/>
      </c>
      <c r="AS15" s="59">
        <f>IF(COUNT(L15,W15,AH15)=0,"",AVERAGE(L15,W15,AH15))</f>
        <v/>
      </c>
      <c r="AT15" s="59">
        <f>IF(COUNT(M15,X15,AI15)=0,"",AVERAGE(M15,X15,AI15))</f>
        <v/>
      </c>
      <c r="AU15" s="59">
        <f>IF(COUNT(N15,Y15,AJ15)=0,"",AVERAGE(N15,Y15,AJ15))</f>
        <v/>
      </c>
      <c r="AV15" s="59">
        <f>IF(COUNT(O15,Z15,AK15)=0,"",AVERAGE(O15,Z15,AK15))</f>
        <v/>
      </c>
      <c r="AW15" s="59">
        <f>IF(COUNT(P15,AA15,AL15)=0,"",AVERAGE(P15,AA15,AL15))</f>
        <v/>
      </c>
      <c r="AX15" s="59">
        <f>IF(COUNT(Q15,AB15,AM15)=0,"",AVERAGE(Q15,AB15,AM15))</f>
        <v/>
      </c>
      <c r="AY15" s="60">
        <f>IF(OR($F15="",COUNT(R15,AC15,AN15)=0),"",AVERAGE(R15,AC15,AN15))</f>
        <v/>
      </c>
      <c r="AZ15" s="60">
        <f>IF(OR($G15="",$G15=$F15,COUNT(S15,AD15,AO15)=0),"",AVERAGE(S15,AD15,AO15))</f>
        <v/>
      </c>
      <c r="BA15" s="61">
        <f>IF(COUNT(AP15:AX15)=0,"",SUM(AP15:AX15))</f>
        <v/>
      </c>
      <c r="BB15" s="62">
        <f>IF(BA15="","",BA15/BA$6)</f>
        <v/>
      </c>
      <c r="BC15" s="14">
        <f>IF(BR15="","",COUNTIF($BR$7:$BR$26,"&gt;"&amp;BR15)+COUNTIF($BR$7:BR15,BR15))</f>
        <v/>
      </c>
      <c r="BD15" s="63">
        <f>IF(BC15="","",IF(BC15&lt;=Mapping!$C$11,"Shortlisted","Not shortlisted"))</f>
        <v/>
      </c>
      <c r="BE15" s="64">
        <f>IFERROR((AP15/AP$6*Mapping!$D$15+AQ15/AQ$6*Mapping!$D$16+AR15/AR$6*Mapping!$D$17+AS15/AS$6*Mapping!$D$18+AT15/AT$6*Mapping!$D$19+AU15/AU$6*Mapping!$D$20+AV15/AV$6*Mapping!$D$21+AW15/AW$6*Mapping!$D$22+AX15/AX$6*Mapping!$D$23)/SUM(Mapping!$D$15:$D$23),"")</f>
        <v/>
      </c>
      <c r="BF15" s="64">
        <f>IFERROR((AP15/AP$6*Mapping!$E$15+AQ15/AQ$6*Mapping!$E$16+AR15/AR$6*Mapping!$E$17+AS15/AS$6*Mapping!$E$18+AT15/AT$6*Mapping!$E$19+AU15/AU$6*Mapping!$E$20+AV15/AV$6*Mapping!$E$21+AW15/AW$6*Mapping!$E$22+AX15/AX$6*Mapping!$E$23)/SUM(Mapping!$E$15:$E$23),"")</f>
        <v/>
      </c>
      <c r="BG15" s="64">
        <f>IFERROR((AP15/AP$6*Mapping!$F$15+AQ15/AQ$6*Mapping!$F$16+AR15/AR$6*Mapping!$F$17+AS15/AS$6*Mapping!$F$18+AT15/AT$6*Mapping!$F$19+AU15/AU$6*Mapping!$F$20+AV15/AV$6*Mapping!$F$21+AW15/AW$6*Mapping!$F$22+AX15/AX$6*Mapping!$F$23)/SUM(Mapping!$F$15:$F$23),"")</f>
        <v/>
      </c>
      <c r="BH15" s="64">
        <f>IFERROR((AP15/AP$6*Mapping!$G$15+AQ15/AQ$6*Mapping!$G$16+AR15/AR$6*Mapping!$G$17+AS15/AS$6*Mapping!$G$18+AT15/AT$6*Mapping!$G$19+AU15/AU$6*Mapping!$G$20+AV15/AV$6*Mapping!$G$21+AW15/AW$6*Mapping!$G$22+AX15/AX$6*Mapping!$G$23)/SUM(Mapping!$G$15:$G$23),"")</f>
        <v/>
      </c>
      <c r="BI15" s="64">
        <f>IFERROR((AP15/AP$6*Mapping!$H$15+AQ15/AQ$6*Mapping!$H$16+AR15/AR$6*Mapping!$H$17+AS15/AS$6*Mapping!$H$18+AT15/AT$6*Mapping!$H$19+AU15/AU$6*Mapping!$H$20+AV15/AV$6*Mapping!$H$21+AW15/AW$6*Mapping!$H$22+AX15/AX$6*Mapping!$H$23)/SUM(Mapping!$H$15:$H$23),"")</f>
        <v/>
      </c>
      <c r="BJ15" s="64">
        <f>IFERROR((AP15/AP$6*Mapping!$I$15+AQ15/AQ$6*Mapping!$I$16+AR15/AR$6*Mapping!$I$17+AS15/AS$6*Mapping!$I$18+AT15/AT$6*Mapping!$I$19+AU15/AU$6*Mapping!$I$20+AV15/AV$6*Mapping!$I$21+AW15/AW$6*Mapping!$I$22+AX15/AX$6*Mapping!$I$23)/SUM(Mapping!$I$15:$I$23),"")</f>
        <v/>
      </c>
      <c r="BK15" s="64">
        <f>IFERROR((AP15/AP$6*Mapping!$J$15+AQ15/AQ$6*Mapping!$J$16+AR15/AR$6*Mapping!$J$17+AS15/AS$6*Mapping!$J$18+AT15/AT$6*Mapping!$J$19+AU15/AU$6*Mapping!$J$20+AV15/AV$6*Mapping!$J$21+AW15/AW$6*Mapping!$J$22+AX15/AX$6*Mapping!$J$23)/SUM(Mapping!$J$15:$J$23),"")</f>
        <v/>
      </c>
      <c r="BL15" s="64">
        <f>IFERROR((AP15/AP$6*Mapping!$K$15+AQ15/AQ$6*Mapping!$K$16+AR15/AR$6*Mapping!$K$17+AS15/AS$6*Mapping!$K$18+AT15/AT$6*Mapping!$K$19+AU15/AU$6*Mapping!$K$20+AV15/AV$6*Mapping!$K$21+AW15/AW$6*Mapping!$K$22+AX15/AX$6*Mapping!$K$23)/SUM(Mapping!$K$15:$K$23),"")</f>
        <v/>
      </c>
      <c r="BM15" s="64">
        <f>IFERROR((AP15/AP$6*Mapping!$L$15+AQ15/AQ$6*Mapping!$L$16+AR15/AR$6*Mapping!$L$17+AS15/AS$6*Mapping!$L$18+AT15/AT$6*Mapping!$L$19+AU15/AU$6*Mapping!$L$20+AV15/AV$6*Mapping!$L$21+AW15/AW$6*Mapping!$L$22+AX15/AX$6*Mapping!$L$23)/SUM(Mapping!$L$15:$L$23),"")</f>
        <v/>
      </c>
      <c r="BN15" s="64">
        <f>IFERROR((AP15/AP$6*Mapping!$M$15+AQ15/AQ$6*Mapping!$M$16+AR15/AR$6*Mapping!$M$17+AS15/AS$6*Mapping!$M$18+AT15/AT$6*Mapping!$M$19+AU15/AU$6*Mapping!$M$20+AV15/AV$6*Mapping!$M$21+AW15/AW$6*Mapping!$M$22+AX15/AX$6*Mapping!$M$23)/SUM(Mapping!$M$15:$M$23),"")</f>
        <v/>
      </c>
      <c r="BO15" s="64">
        <f>IFERROR((AP15/AP$6*Mapping!$N$15+AQ15/AQ$6*Mapping!$N$16+AR15/AR$6*Mapping!$N$17+AS15/AS$6*Mapping!$N$18+AT15/AT$6*Mapping!$N$19+AU15/AU$6*Mapping!$N$20+AV15/AV$6*Mapping!$N$21+AW15/AW$6*Mapping!$N$22+AX15/AX$6*Mapping!$N$23)/SUM(Mapping!$N$15:$N$23),"")</f>
        <v/>
      </c>
      <c r="BP15" s="64">
        <f>IFERROR((AP15/AP$6*Mapping!$O$15+AQ15/AQ$6*Mapping!$O$16+AR15/AR$6*Mapping!$O$17+AS15/AS$6*Mapping!$O$18+AT15/AT$6*Mapping!$O$19+AU15/AU$6*Mapping!$O$20+AV15/AV$6*Mapping!$O$21+AW15/AW$6*Mapping!$O$22+AX15/AX$6*Mapping!$O$23)/SUM(Mapping!$O$15:$O$23),"")</f>
        <v/>
      </c>
      <c r="BQ15" s="64">
        <f>IFERROR((AP15/AP$6*Mapping!$P$15+AQ15/AQ$6*Mapping!$P$16+AR15/AR$6*Mapping!$P$17+AS15/AS$6*Mapping!$P$18+AT15/AT$6*Mapping!$P$19+AU15/AU$6*Mapping!$P$20+AV15/AV$6*Mapping!$P$21+AW15/AW$6*Mapping!$P$22+AX15/AX$6*Mapping!$P$23)/SUM(Mapping!$P$15:$P$23),"")</f>
        <v/>
      </c>
      <c r="BR15" s="65">
        <f>IF(BA15="","",BA15+N(AS15)/10000)</f>
        <v/>
      </c>
    </row>
    <row r="16" ht="30" customHeight="1">
      <c r="A16" s="28" t="n">
        <v>10</v>
      </c>
      <c r="B16" s="29" t="inlineStr">
        <is>
          <t>5th Sem - B</t>
        </is>
      </c>
      <c r="C16" s="29" t="n"/>
      <c r="D16" s="6" t="n"/>
      <c r="E16" s="6" t="n"/>
      <c r="F16" s="29" t="n"/>
      <c r="G16" s="29" t="n"/>
      <c r="H16" s="6" t="n"/>
      <c r="I16" s="29" t="n"/>
      <c r="J16" s="29" t="n"/>
      <c r="K16" s="29" t="n"/>
      <c r="L16" s="29" t="n"/>
      <c r="M16" s="29" t="n"/>
      <c r="N16" s="29" t="n"/>
      <c r="O16" s="29" t="n"/>
      <c r="P16" s="29" t="n"/>
      <c r="Q16" s="29" t="n"/>
      <c r="R16" s="29" t="n"/>
      <c r="S16" s="29" t="n"/>
      <c r="T16" s="29" t="n"/>
      <c r="U16" s="29" t="n"/>
      <c r="V16" s="29" t="n"/>
      <c r="W16" s="29" t="n"/>
      <c r="X16" s="29" t="n"/>
      <c r="Y16" s="29" t="n"/>
      <c r="Z16" s="29" t="n"/>
      <c r="AA16" s="29" t="n"/>
      <c r="AB16" s="29" t="n"/>
      <c r="AC16" s="29" t="n"/>
      <c r="AD16" s="29" t="n"/>
      <c r="AE16" s="29" t="n"/>
      <c r="AF16" s="29" t="n"/>
      <c r="AG16" s="29" t="n"/>
      <c r="AH16" s="29" t="n"/>
      <c r="AI16" s="29" t="n"/>
      <c r="AJ16" s="29" t="n"/>
      <c r="AK16" s="29" t="n"/>
      <c r="AL16" s="29" t="n"/>
      <c r="AM16" s="29" t="n"/>
      <c r="AN16" s="29" t="n"/>
      <c r="AO16" s="29" t="n"/>
      <c r="AP16" s="59">
        <f>IF(COUNT(I16,T16,AE16)=0,"",AVERAGE(I16,T16,AE16))</f>
        <v/>
      </c>
      <c r="AQ16" s="59">
        <f>IF(COUNT(J16,U16,AF16)=0,"",AVERAGE(J16,U16,AF16))</f>
        <v/>
      </c>
      <c r="AR16" s="59">
        <f>IF(COUNT(K16,V16,AG16)=0,"",AVERAGE(K16,V16,AG16))</f>
        <v/>
      </c>
      <c r="AS16" s="59">
        <f>IF(COUNT(L16,W16,AH16)=0,"",AVERAGE(L16,W16,AH16))</f>
        <v/>
      </c>
      <c r="AT16" s="59">
        <f>IF(COUNT(M16,X16,AI16)=0,"",AVERAGE(M16,X16,AI16))</f>
        <v/>
      </c>
      <c r="AU16" s="59">
        <f>IF(COUNT(N16,Y16,AJ16)=0,"",AVERAGE(N16,Y16,AJ16))</f>
        <v/>
      </c>
      <c r="AV16" s="59">
        <f>IF(COUNT(O16,Z16,AK16)=0,"",AVERAGE(O16,Z16,AK16))</f>
        <v/>
      </c>
      <c r="AW16" s="59">
        <f>IF(COUNT(P16,AA16,AL16)=0,"",AVERAGE(P16,AA16,AL16))</f>
        <v/>
      </c>
      <c r="AX16" s="59">
        <f>IF(COUNT(Q16,AB16,AM16)=0,"",AVERAGE(Q16,AB16,AM16))</f>
        <v/>
      </c>
      <c r="AY16" s="60">
        <f>IF(OR($F16="",COUNT(R16,AC16,AN16)=0),"",AVERAGE(R16,AC16,AN16))</f>
        <v/>
      </c>
      <c r="AZ16" s="60">
        <f>IF(OR($G16="",$G16=$F16,COUNT(S16,AD16,AO16)=0),"",AVERAGE(S16,AD16,AO16))</f>
        <v/>
      </c>
      <c r="BA16" s="61">
        <f>IF(COUNT(AP16:AX16)=0,"",SUM(AP16:AX16))</f>
        <v/>
      </c>
      <c r="BB16" s="62">
        <f>IF(BA16="","",BA16/BA$6)</f>
        <v/>
      </c>
      <c r="BC16" s="14">
        <f>IF(BR16="","",COUNTIF($BR$7:$BR$26,"&gt;"&amp;BR16)+COUNTIF($BR$7:BR16,BR16))</f>
        <v/>
      </c>
      <c r="BD16" s="63">
        <f>IF(BC16="","",IF(BC16&lt;=Mapping!$C$11,"Shortlisted","Not shortlisted"))</f>
        <v/>
      </c>
      <c r="BE16" s="64">
        <f>IFERROR((AP16/AP$6*Mapping!$D$15+AQ16/AQ$6*Mapping!$D$16+AR16/AR$6*Mapping!$D$17+AS16/AS$6*Mapping!$D$18+AT16/AT$6*Mapping!$D$19+AU16/AU$6*Mapping!$D$20+AV16/AV$6*Mapping!$D$21+AW16/AW$6*Mapping!$D$22+AX16/AX$6*Mapping!$D$23)/SUM(Mapping!$D$15:$D$23),"")</f>
        <v/>
      </c>
      <c r="BF16" s="64">
        <f>IFERROR((AP16/AP$6*Mapping!$E$15+AQ16/AQ$6*Mapping!$E$16+AR16/AR$6*Mapping!$E$17+AS16/AS$6*Mapping!$E$18+AT16/AT$6*Mapping!$E$19+AU16/AU$6*Mapping!$E$20+AV16/AV$6*Mapping!$E$21+AW16/AW$6*Mapping!$E$22+AX16/AX$6*Mapping!$E$23)/SUM(Mapping!$E$15:$E$23),"")</f>
        <v/>
      </c>
      <c r="BG16" s="64">
        <f>IFERROR((AP16/AP$6*Mapping!$F$15+AQ16/AQ$6*Mapping!$F$16+AR16/AR$6*Mapping!$F$17+AS16/AS$6*Mapping!$F$18+AT16/AT$6*Mapping!$F$19+AU16/AU$6*Mapping!$F$20+AV16/AV$6*Mapping!$F$21+AW16/AW$6*Mapping!$F$22+AX16/AX$6*Mapping!$F$23)/SUM(Mapping!$F$15:$F$23),"")</f>
        <v/>
      </c>
      <c r="BH16" s="64">
        <f>IFERROR((AP16/AP$6*Mapping!$G$15+AQ16/AQ$6*Mapping!$G$16+AR16/AR$6*Mapping!$G$17+AS16/AS$6*Mapping!$G$18+AT16/AT$6*Mapping!$G$19+AU16/AU$6*Mapping!$G$20+AV16/AV$6*Mapping!$G$21+AW16/AW$6*Mapping!$G$22+AX16/AX$6*Mapping!$G$23)/SUM(Mapping!$G$15:$G$23),"")</f>
        <v/>
      </c>
      <c r="BI16" s="64">
        <f>IFERROR((AP16/AP$6*Mapping!$H$15+AQ16/AQ$6*Mapping!$H$16+AR16/AR$6*Mapping!$H$17+AS16/AS$6*Mapping!$H$18+AT16/AT$6*Mapping!$H$19+AU16/AU$6*Mapping!$H$20+AV16/AV$6*Mapping!$H$21+AW16/AW$6*Mapping!$H$22+AX16/AX$6*Mapping!$H$23)/SUM(Mapping!$H$15:$H$23),"")</f>
        <v/>
      </c>
      <c r="BJ16" s="64">
        <f>IFERROR((AP16/AP$6*Mapping!$I$15+AQ16/AQ$6*Mapping!$I$16+AR16/AR$6*Mapping!$I$17+AS16/AS$6*Mapping!$I$18+AT16/AT$6*Mapping!$I$19+AU16/AU$6*Mapping!$I$20+AV16/AV$6*Mapping!$I$21+AW16/AW$6*Mapping!$I$22+AX16/AX$6*Mapping!$I$23)/SUM(Mapping!$I$15:$I$23),"")</f>
        <v/>
      </c>
      <c r="BK16" s="64">
        <f>IFERROR((AP16/AP$6*Mapping!$J$15+AQ16/AQ$6*Mapping!$J$16+AR16/AR$6*Mapping!$J$17+AS16/AS$6*Mapping!$J$18+AT16/AT$6*Mapping!$J$19+AU16/AU$6*Mapping!$J$20+AV16/AV$6*Mapping!$J$21+AW16/AW$6*Mapping!$J$22+AX16/AX$6*Mapping!$J$23)/SUM(Mapping!$J$15:$J$23),"")</f>
        <v/>
      </c>
      <c r="BL16" s="64">
        <f>IFERROR((AP16/AP$6*Mapping!$K$15+AQ16/AQ$6*Mapping!$K$16+AR16/AR$6*Mapping!$K$17+AS16/AS$6*Mapping!$K$18+AT16/AT$6*Mapping!$K$19+AU16/AU$6*Mapping!$K$20+AV16/AV$6*Mapping!$K$21+AW16/AW$6*Mapping!$K$22+AX16/AX$6*Mapping!$K$23)/SUM(Mapping!$K$15:$K$23),"")</f>
        <v/>
      </c>
      <c r="BM16" s="64">
        <f>IFERROR((AP16/AP$6*Mapping!$L$15+AQ16/AQ$6*Mapping!$L$16+AR16/AR$6*Mapping!$L$17+AS16/AS$6*Mapping!$L$18+AT16/AT$6*Mapping!$L$19+AU16/AU$6*Mapping!$L$20+AV16/AV$6*Mapping!$L$21+AW16/AW$6*Mapping!$L$22+AX16/AX$6*Mapping!$L$23)/SUM(Mapping!$L$15:$L$23),"")</f>
        <v/>
      </c>
      <c r="BN16" s="64">
        <f>IFERROR((AP16/AP$6*Mapping!$M$15+AQ16/AQ$6*Mapping!$M$16+AR16/AR$6*Mapping!$M$17+AS16/AS$6*Mapping!$M$18+AT16/AT$6*Mapping!$M$19+AU16/AU$6*Mapping!$M$20+AV16/AV$6*Mapping!$M$21+AW16/AW$6*Mapping!$M$22+AX16/AX$6*Mapping!$M$23)/SUM(Mapping!$M$15:$M$23),"")</f>
        <v/>
      </c>
      <c r="BO16" s="64">
        <f>IFERROR((AP16/AP$6*Mapping!$N$15+AQ16/AQ$6*Mapping!$N$16+AR16/AR$6*Mapping!$N$17+AS16/AS$6*Mapping!$N$18+AT16/AT$6*Mapping!$N$19+AU16/AU$6*Mapping!$N$20+AV16/AV$6*Mapping!$N$21+AW16/AW$6*Mapping!$N$22+AX16/AX$6*Mapping!$N$23)/SUM(Mapping!$N$15:$N$23),"")</f>
        <v/>
      </c>
      <c r="BP16" s="64">
        <f>IFERROR((AP16/AP$6*Mapping!$O$15+AQ16/AQ$6*Mapping!$O$16+AR16/AR$6*Mapping!$O$17+AS16/AS$6*Mapping!$O$18+AT16/AT$6*Mapping!$O$19+AU16/AU$6*Mapping!$O$20+AV16/AV$6*Mapping!$O$21+AW16/AW$6*Mapping!$O$22+AX16/AX$6*Mapping!$O$23)/SUM(Mapping!$O$15:$O$23),"")</f>
        <v/>
      </c>
      <c r="BQ16" s="64">
        <f>IFERROR((AP16/AP$6*Mapping!$P$15+AQ16/AQ$6*Mapping!$P$16+AR16/AR$6*Mapping!$P$17+AS16/AS$6*Mapping!$P$18+AT16/AT$6*Mapping!$P$19+AU16/AU$6*Mapping!$P$20+AV16/AV$6*Mapping!$P$21+AW16/AW$6*Mapping!$P$22+AX16/AX$6*Mapping!$P$23)/SUM(Mapping!$P$15:$P$23),"")</f>
        <v/>
      </c>
      <c r="BR16" s="65">
        <f>IF(BA16="","",BA16+N(AS16)/10000)</f>
        <v/>
      </c>
    </row>
    <row r="17" ht="30" customHeight="1">
      <c r="A17" s="28" t="n">
        <v>11</v>
      </c>
      <c r="B17" s="29" t="inlineStr">
        <is>
          <t>5th Sem - B</t>
        </is>
      </c>
      <c r="C17" s="29" t="n"/>
      <c r="D17" s="6" t="n"/>
      <c r="E17" s="6" t="n"/>
      <c r="F17" s="29" t="n"/>
      <c r="G17" s="29" t="n"/>
      <c r="H17" s="6" t="n"/>
      <c r="I17" s="29" t="n"/>
      <c r="J17" s="29" t="n"/>
      <c r="K17" s="29" t="n"/>
      <c r="L17" s="29" t="n"/>
      <c r="M17" s="29" t="n"/>
      <c r="N17" s="29" t="n"/>
      <c r="O17" s="29" t="n"/>
      <c r="P17" s="29" t="n"/>
      <c r="Q17" s="29" t="n"/>
      <c r="R17" s="29" t="n"/>
      <c r="S17" s="29" t="n"/>
      <c r="T17" s="29" t="n"/>
      <c r="U17" s="29" t="n"/>
      <c r="V17" s="29" t="n"/>
      <c r="W17" s="29" t="n"/>
      <c r="X17" s="29" t="n"/>
      <c r="Y17" s="29" t="n"/>
      <c r="Z17" s="29" t="n"/>
      <c r="AA17" s="29" t="n"/>
      <c r="AB17" s="29" t="n"/>
      <c r="AC17" s="29" t="n"/>
      <c r="AD17" s="29" t="n"/>
      <c r="AE17" s="29" t="n"/>
      <c r="AF17" s="29" t="n"/>
      <c r="AG17" s="29" t="n"/>
      <c r="AH17" s="29" t="n"/>
      <c r="AI17" s="29" t="n"/>
      <c r="AJ17" s="29" t="n"/>
      <c r="AK17" s="29" t="n"/>
      <c r="AL17" s="29" t="n"/>
      <c r="AM17" s="29" t="n"/>
      <c r="AN17" s="29" t="n"/>
      <c r="AO17" s="29" t="n"/>
      <c r="AP17" s="59">
        <f>IF(COUNT(I17,T17,AE17)=0,"",AVERAGE(I17,T17,AE17))</f>
        <v/>
      </c>
      <c r="AQ17" s="59">
        <f>IF(COUNT(J17,U17,AF17)=0,"",AVERAGE(J17,U17,AF17))</f>
        <v/>
      </c>
      <c r="AR17" s="59">
        <f>IF(COUNT(K17,V17,AG17)=0,"",AVERAGE(K17,V17,AG17))</f>
        <v/>
      </c>
      <c r="AS17" s="59">
        <f>IF(COUNT(L17,W17,AH17)=0,"",AVERAGE(L17,W17,AH17))</f>
        <v/>
      </c>
      <c r="AT17" s="59">
        <f>IF(COUNT(M17,X17,AI17)=0,"",AVERAGE(M17,X17,AI17))</f>
        <v/>
      </c>
      <c r="AU17" s="59">
        <f>IF(COUNT(N17,Y17,AJ17)=0,"",AVERAGE(N17,Y17,AJ17))</f>
        <v/>
      </c>
      <c r="AV17" s="59">
        <f>IF(COUNT(O17,Z17,AK17)=0,"",AVERAGE(O17,Z17,AK17))</f>
        <v/>
      </c>
      <c r="AW17" s="59">
        <f>IF(COUNT(P17,AA17,AL17)=0,"",AVERAGE(P17,AA17,AL17))</f>
        <v/>
      </c>
      <c r="AX17" s="59">
        <f>IF(COUNT(Q17,AB17,AM17)=0,"",AVERAGE(Q17,AB17,AM17))</f>
        <v/>
      </c>
      <c r="AY17" s="60">
        <f>IF(OR($F17="",COUNT(R17,AC17,AN17)=0),"",AVERAGE(R17,AC17,AN17))</f>
        <v/>
      </c>
      <c r="AZ17" s="60">
        <f>IF(OR($G17="",$G17=$F17,COUNT(S17,AD17,AO17)=0),"",AVERAGE(S17,AD17,AO17))</f>
        <v/>
      </c>
      <c r="BA17" s="61">
        <f>IF(COUNT(AP17:AX17)=0,"",SUM(AP17:AX17))</f>
        <v/>
      </c>
      <c r="BB17" s="62">
        <f>IF(BA17="","",BA17/BA$6)</f>
        <v/>
      </c>
      <c r="BC17" s="14">
        <f>IF(BR17="","",COUNTIF($BR$7:$BR$26,"&gt;"&amp;BR17)+COUNTIF($BR$7:BR17,BR17))</f>
        <v/>
      </c>
      <c r="BD17" s="63">
        <f>IF(BC17="","",IF(BC17&lt;=Mapping!$C$11,"Shortlisted","Not shortlisted"))</f>
        <v/>
      </c>
      <c r="BE17" s="64">
        <f>IFERROR((AP17/AP$6*Mapping!$D$15+AQ17/AQ$6*Mapping!$D$16+AR17/AR$6*Mapping!$D$17+AS17/AS$6*Mapping!$D$18+AT17/AT$6*Mapping!$D$19+AU17/AU$6*Mapping!$D$20+AV17/AV$6*Mapping!$D$21+AW17/AW$6*Mapping!$D$22+AX17/AX$6*Mapping!$D$23)/SUM(Mapping!$D$15:$D$23),"")</f>
        <v/>
      </c>
      <c r="BF17" s="64">
        <f>IFERROR((AP17/AP$6*Mapping!$E$15+AQ17/AQ$6*Mapping!$E$16+AR17/AR$6*Mapping!$E$17+AS17/AS$6*Mapping!$E$18+AT17/AT$6*Mapping!$E$19+AU17/AU$6*Mapping!$E$20+AV17/AV$6*Mapping!$E$21+AW17/AW$6*Mapping!$E$22+AX17/AX$6*Mapping!$E$23)/SUM(Mapping!$E$15:$E$23),"")</f>
        <v/>
      </c>
      <c r="BG17" s="64">
        <f>IFERROR((AP17/AP$6*Mapping!$F$15+AQ17/AQ$6*Mapping!$F$16+AR17/AR$6*Mapping!$F$17+AS17/AS$6*Mapping!$F$18+AT17/AT$6*Mapping!$F$19+AU17/AU$6*Mapping!$F$20+AV17/AV$6*Mapping!$F$21+AW17/AW$6*Mapping!$F$22+AX17/AX$6*Mapping!$F$23)/SUM(Mapping!$F$15:$F$23),"")</f>
        <v/>
      </c>
      <c r="BH17" s="64">
        <f>IFERROR((AP17/AP$6*Mapping!$G$15+AQ17/AQ$6*Mapping!$G$16+AR17/AR$6*Mapping!$G$17+AS17/AS$6*Mapping!$G$18+AT17/AT$6*Mapping!$G$19+AU17/AU$6*Mapping!$G$20+AV17/AV$6*Mapping!$G$21+AW17/AW$6*Mapping!$G$22+AX17/AX$6*Mapping!$G$23)/SUM(Mapping!$G$15:$G$23),"")</f>
        <v/>
      </c>
      <c r="BI17" s="64">
        <f>IFERROR((AP17/AP$6*Mapping!$H$15+AQ17/AQ$6*Mapping!$H$16+AR17/AR$6*Mapping!$H$17+AS17/AS$6*Mapping!$H$18+AT17/AT$6*Mapping!$H$19+AU17/AU$6*Mapping!$H$20+AV17/AV$6*Mapping!$H$21+AW17/AW$6*Mapping!$H$22+AX17/AX$6*Mapping!$H$23)/SUM(Mapping!$H$15:$H$23),"")</f>
        <v/>
      </c>
      <c r="BJ17" s="64">
        <f>IFERROR((AP17/AP$6*Mapping!$I$15+AQ17/AQ$6*Mapping!$I$16+AR17/AR$6*Mapping!$I$17+AS17/AS$6*Mapping!$I$18+AT17/AT$6*Mapping!$I$19+AU17/AU$6*Mapping!$I$20+AV17/AV$6*Mapping!$I$21+AW17/AW$6*Mapping!$I$22+AX17/AX$6*Mapping!$I$23)/SUM(Mapping!$I$15:$I$23),"")</f>
        <v/>
      </c>
      <c r="BK17" s="64">
        <f>IFERROR((AP17/AP$6*Mapping!$J$15+AQ17/AQ$6*Mapping!$J$16+AR17/AR$6*Mapping!$J$17+AS17/AS$6*Mapping!$J$18+AT17/AT$6*Mapping!$J$19+AU17/AU$6*Mapping!$J$20+AV17/AV$6*Mapping!$J$21+AW17/AW$6*Mapping!$J$22+AX17/AX$6*Mapping!$J$23)/SUM(Mapping!$J$15:$J$23),"")</f>
        <v/>
      </c>
      <c r="BL17" s="64">
        <f>IFERROR((AP17/AP$6*Mapping!$K$15+AQ17/AQ$6*Mapping!$K$16+AR17/AR$6*Mapping!$K$17+AS17/AS$6*Mapping!$K$18+AT17/AT$6*Mapping!$K$19+AU17/AU$6*Mapping!$K$20+AV17/AV$6*Mapping!$K$21+AW17/AW$6*Mapping!$K$22+AX17/AX$6*Mapping!$K$23)/SUM(Mapping!$K$15:$K$23),"")</f>
        <v/>
      </c>
      <c r="BM17" s="64">
        <f>IFERROR((AP17/AP$6*Mapping!$L$15+AQ17/AQ$6*Mapping!$L$16+AR17/AR$6*Mapping!$L$17+AS17/AS$6*Mapping!$L$18+AT17/AT$6*Mapping!$L$19+AU17/AU$6*Mapping!$L$20+AV17/AV$6*Mapping!$L$21+AW17/AW$6*Mapping!$L$22+AX17/AX$6*Mapping!$L$23)/SUM(Mapping!$L$15:$L$23),"")</f>
        <v/>
      </c>
      <c r="BN17" s="64">
        <f>IFERROR((AP17/AP$6*Mapping!$M$15+AQ17/AQ$6*Mapping!$M$16+AR17/AR$6*Mapping!$M$17+AS17/AS$6*Mapping!$M$18+AT17/AT$6*Mapping!$M$19+AU17/AU$6*Mapping!$M$20+AV17/AV$6*Mapping!$M$21+AW17/AW$6*Mapping!$M$22+AX17/AX$6*Mapping!$M$23)/SUM(Mapping!$M$15:$M$23),"")</f>
        <v/>
      </c>
      <c r="BO17" s="64">
        <f>IFERROR((AP17/AP$6*Mapping!$N$15+AQ17/AQ$6*Mapping!$N$16+AR17/AR$6*Mapping!$N$17+AS17/AS$6*Mapping!$N$18+AT17/AT$6*Mapping!$N$19+AU17/AU$6*Mapping!$N$20+AV17/AV$6*Mapping!$N$21+AW17/AW$6*Mapping!$N$22+AX17/AX$6*Mapping!$N$23)/SUM(Mapping!$N$15:$N$23),"")</f>
        <v/>
      </c>
      <c r="BP17" s="64">
        <f>IFERROR((AP17/AP$6*Mapping!$O$15+AQ17/AQ$6*Mapping!$O$16+AR17/AR$6*Mapping!$O$17+AS17/AS$6*Mapping!$O$18+AT17/AT$6*Mapping!$O$19+AU17/AU$6*Mapping!$O$20+AV17/AV$6*Mapping!$O$21+AW17/AW$6*Mapping!$O$22+AX17/AX$6*Mapping!$O$23)/SUM(Mapping!$O$15:$O$23),"")</f>
        <v/>
      </c>
      <c r="BQ17" s="64">
        <f>IFERROR((AP17/AP$6*Mapping!$P$15+AQ17/AQ$6*Mapping!$P$16+AR17/AR$6*Mapping!$P$17+AS17/AS$6*Mapping!$P$18+AT17/AT$6*Mapping!$P$19+AU17/AU$6*Mapping!$P$20+AV17/AV$6*Mapping!$P$21+AW17/AW$6*Mapping!$P$22+AX17/AX$6*Mapping!$P$23)/SUM(Mapping!$P$15:$P$23),"")</f>
        <v/>
      </c>
      <c r="BR17" s="65">
        <f>IF(BA17="","",BA17+N(AS17)/10000)</f>
        <v/>
      </c>
    </row>
    <row r="18" ht="30" customHeight="1">
      <c r="A18" s="28" t="n">
        <v>12</v>
      </c>
      <c r="B18" s="29" t="inlineStr">
        <is>
          <t>5th Sem - B</t>
        </is>
      </c>
      <c r="C18" s="29" t="n"/>
      <c r="D18" s="6" t="n"/>
      <c r="E18" s="6" t="n"/>
      <c r="F18" s="29" t="n"/>
      <c r="G18" s="29" t="n"/>
      <c r="H18" s="6" t="n"/>
      <c r="I18" s="29" t="n"/>
      <c r="J18" s="29" t="n"/>
      <c r="K18" s="29" t="n"/>
      <c r="L18" s="29" t="n"/>
      <c r="M18" s="29" t="n"/>
      <c r="N18" s="29" t="n"/>
      <c r="O18" s="29" t="n"/>
      <c r="P18" s="29" t="n"/>
      <c r="Q18" s="29" t="n"/>
      <c r="R18" s="29" t="n"/>
      <c r="S18" s="29" t="n"/>
      <c r="T18" s="29" t="n"/>
      <c r="U18" s="29" t="n"/>
      <c r="V18" s="29" t="n"/>
      <c r="W18" s="29" t="n"/>
      <c r="X18" s="29" t="n"/>
      <c r="Y18" s="29" t="n"/>
      <c r="Z18" s="29" t="n"/>
      <c r="AA18" s="29" t="n"/>
      <c r="AB18" s="29" t="n"/>
      <c r="AC18" s="29" t="n"/>
      <c r="AD18" s="29" t="n"/>
      <c r="AE18" s="29" t="n"/>
      <c r="AF18" s="29" t="n"/>
      <c r="AG18" s="29" t="n"/>
      <c r="AH18" s="29" t="n"/>
      <c r="AI18" s="29" t="n"/>
      <c r="AJ18" s="29" t="n"/>
      <c r="AK18" s="29" t="n"/>
      <c r="AL18" s="29" t="n"/>
      <c r="AM18" s="29" t="n"/>
      <c r="AN18" s="29" t="n"/>
      <c r="AO18" s="29" t="n"/>
      <c r="AP18" s="59">
        <f>IF(COUNT(I18,T18,AE18)=0,"",AVERAGE(I18,T18,AE18))</f>
        <v/>
      </c>
      <c r="AQ18" s="59">
        <f>IF(COUNT(J18,U18,AF18)=0,"",AVERAGE(J18,U18,AF18))</f>
        <v/>
      </c>
      <c r="AR18" s="59">
        <f>IF(COUNT(K18,V18,AG18)=0,"",AVERAGE(K18,V18,AG18))</f>
        <v/>
      </c>
      <c r="AS18" s="59">
        <f>IF(COUNT(L18,W18,AH18)=0,"",AVERAGE(L18,W18,AH18))</f>
        <v/>
      </c>
      <c r="AT18" s="59">
        <f>IF(COUNT(M18,X18,AI18)=0,"",AVERAGE(M18,X18,AI18))</f>
        <v/>
      </c>
      <c r="AU18" s="59">
        <f>IF(COUNT(N18,Y18,AJ18)=0,"",AVERAGE(N18,Y18,AJ18))</f>
        <v/>
      </c>
      <c r="AV18" s="59">
        <f>IF(COUNT(O18,Z18,AK18)=0,"",AVERAGE(O18,Z18,AK18))</f>
        <v/>
      </c>
      <c r="AW18" s="59">
        <f>IF(COUNT(P18,AA18,AL18)=0,"",AVERAGE(P18,AA18,AL18))</f>
        <v/>
      </c>
      <c r="AX18" s="59">
        <f>IF(COUNT(Q18,AB18,AM18)=0,"",AVERAGE(Q18,AB18,AM18))</f>
        <v/>
      </c>
      <c r="AY18" s="60">
        <f>IF(OR($F18="",COUNT(R18,AC18,AN18)=0),"",AVERAGE(R18,AC18,AN18))</f>
        <v/>
      </c>
      <c r="AZ18" s="60">
        <f>IF(OR($G18="",$G18=$F18,COUNT(S18,AD18,AO18)=0),"",AVERAGE(S18,AD18,AO18))</f>
        <v/>
      </c>
      <c r="BA18" s="61">
        <f>IF(COUNT(AP18:AX18)=0,"",SUM(AP18:AX18))</f>
        <v/>
      </c>
      <c r="BB18" s="62">
        <f>IF(BA18="","",BA18/BA$6)</f>
        <v/>
      </c>
      <c r="BC18" s="14">
        <f>IF(BR18="","",COUNTIF($BR$7:$BR$26,"&gt;"&amp;BR18)+COUNTIF($BR$7:BR18,BR18))</f>
        <v/>
      </c>
      <c r="BD18" s="63">
        <f>IF(BC18="","",IF(BC18&lt;=Mapping!$C$11,"Shortlisted","Not shortlisted"))</f>
        <v/>
      </c>
      <c r="BE18" s="64">
        <f>IFERROR((AP18/AP$6*Mapping!$D$15+AQ18/AQ$6*Mapping!$D$16+AR18/AR$6*Mapping!$D$17+AS18/AS$6*Mapping!$D$18+AT18/AT$6*Mapping!$D$19+AU18/AU$6*Mapping!$D$20+AV18/AV$6*Mapping!$D$21+AW18/AW$6*Mapping!$D$22+AX18/AX$6*Mapping!$D$23)/SUM(Mapping!$D$15:$D$23),"")</f>
        <v/>
      </c>
      <c r="BF18" s="64">
        <f>IFERROR((AP18/AP$6*Mapping!$E$15+AQ18/AQ$6*Mapping!$E$16+AR18/AR$6*Mapping!$E$17+AS18/AS$6*Mapping!$E$18+AT18/AT$6*Mapping!$E$19+AU18/AU$6*Mapping!$E$20+AV18/AV$6*Mapping!$E$21+AW18/AW$6*Mapping!$E$22+AX18/AX$6*Mapping!$E$23)/SUM(Mapping!$E$15:$E$23),"")</f>
        <v/>
      </c>
      <c r="BG18" s="64">
        <f>IFERROR((AP18/AP$6*Mapping!$F$15+AQ18/AQ$6*Mapping!$F$16+AR18/AR$6*Mapping!$F$17+AS18/AS$6*Mapping!$F$18+AT18/AT$6*Mapping!$F$19+AU18/AU$6*Mapping!$F$20+AV18/AV$6*Mapping!$F$21+AW18/AW$6*Mapping!$F$22+AX18/AX$6*Mapping!$F$23)/SUM(Mapping!$F$15:$F$23),"")</f>
        <v/>
      </c>
      <c r="BH18" s="64">
        <f>IFERROR((AP18/AP$6*Mapping!$G$15+AQ18/AQ$6*Mapping!$G$16+AR18/AR$6*Mapping!$G$17+AS18/AS$6*Mapping!$G$18+AT18/AT$6*Mapping!$G$19+AU18/AU$6*Mapping!$G$20+AV18/AV$6*Mapping!$G$21+AW18/AW$6*Mapping!$G$22+AX18/AX$6*Mapping!$G$23)/SUM(Mapping!$G$15:$G$23),"")</f>
        <v/>
      </c>
      <c r="BI18" s="64">
        <f>IFERROR((AP18/AP$6*Mapping!$H$15+AQ18/AQ$6*Mapping!$H$16+AR18/AR$6*Mapping!$H$17+AS18/AS$6*Mapping!$H$18+AT18/AT$6*Mapping!$H$19+AU18/AU$6*Mapping!$H$20+AV18/AV$6*Mapping!$H$21+AW18/AW$6*Mapping!$H$22+AX18/AX$6*Mapping!$H$23)/SUM(Mapping!$H$15:$H$23),"")</f>
        <v/>
      </c>
      <c r="BJ18" s="64">
        <f>IFERROR((AP18/AP$6*Mapping!$I$15+AQ18/AQ$6*Mapping!$I$16+AR18/AR$6*Mapping!$I$17+AS18/AS$6*Mapping!$I$18+AT18/AT$6*Mapping!$I$19+AU18/AU$6*Mapping!$I$20+AV18/AV$6*Mapping!$I$21+AW18/AW$6*Mapping!$I$22+AX18/AX$6*Mapping!$I$23)/SUM(Mapping!$I$15:$I$23),"")</f>
        <v/>
      </c>
      <c r="BK18" s="64">
        <f>IFERROR((AP18/AP$6*Mapping!$J$15+AQ18/AQ$6*Mapping!$J$16+AR18/AR$6*Mapping!$J$17+AS18/AS$6*Mapping!$J$18+AT18/AT$6*Mapping!$J$19+AU18/AU$6*Mapping!$J$20+AV18/AV$6*Mapping!$J$21+AW18/AW$6*Mapping!$J$22+AX18/AX$6*Mapping!$J$23)/SUM(Mapping!$J$15:$J$23),"")</f>
        <v/>
      </c>
      <c r="BL18" s="64">
        <f>IFERROR((AP18/AP$6*Mapping!$K$15+AQ18/AQ$6*Mapping!$K$16+AR18/AR$6*Mapping!$K$17+AS18/AS$6*Mapping!$K$18+AT18/AT$6*Mapping!$K$19+AU18/AU$6*Mapping!$K$20+AV18/AV$6*Mapping!$K$21+AW18/AW$6*Mapping!$K$22+AX18/AX$6*Mapping!$K$23)/SUM(Mapping!$K$15:$K$23),"")</f>
        <v/>
      </c>
      <c r="BM18" s="64">
        <f>IFERROR((AP18/AP$6*Mapping!$L$15+AQ18/AQ$6*Mapping!$L$16+AR18/AR$6*Mapping!$L$17+AS18/AS$6*Mapping!$L$18+AT18/AT$6*Mapping!$L$19+AU18/AU$6*Mapping!$L$20+AV18/AV$6*Mapping!$L$21+AW18/AW$6*Mapping!$L$22+AX18/AX$6*Mapping!$L$23)/SUM(Mapping!$L$15:$L$23),"")</f>
        <v/>
      </c>
      <c r="BN18" s="64">
        <f>IFERROR((AP18/AP$6*Mapping!$M$15+AQ18/AQ$6*Mapping!$M$16+AR18/AR$6*Mapping!$M$17+AS18/AS$6*Mapping!$M$18+AT18/AT$6*Mapping!$M$19+AU18/AU$6*Mapping!$M$20+AV18/AV$6*Mapping!$M$21+AW18/AW$6*Mapping!$M$22+AX18/AX$6*Mapping!$M$23)/SUM(Mapping!$M$15:$M$23),"")</f>
        <v/>
      </c>
      <c r="BO18" s="64">
        <f>IFERROR((AP18/AP$6*Mapping!$N$15+AQ18/AQ$6*Mapping!$N$16+AR18/AR$6*Mapping!$N$17+AS18/AS$6*Mapping!$N$18+AT18/AT$6*Mapping!$N$19+AU18/AU$6*Mapping!$N$20+AV18/AV$6*Mapping!$N$21+AW18/AW$6*Mapping!$N$22+AX18/AX$6*Mapping!$N$23)/SUM(Mapping!$N$15:$N$23),"")</f>
        <v/>
      </c>
      <c r="BP18" s="64">
        <f>IFERROR((AP18/AP$6*Mapping!$O$15+AQ18/AQ$6*Mapping!$O$16+AR18/AR$6*Mapping!$O$17+AS18/AS$6*Mapping!$O$18+AT18/AT$6*Mapping!$O$19+AU18/AU$6*Mapping!$O$20+AV18/AV$6*Mapping!$O$21+AW18/AW$6*Mapping!$O$22+AX18/AX$6*Mapping!$O$23)/SUM(Mapping!$O$15:$O$23),"")</f>
        <v/>
      </c>
      <c r="BQ18" s="64">
        <f>IFERROR((AP18/AP$6*Mapping!$P$15+AQ18/AQ$6*Mapping!$P$16+AR18/AR$6*Mapping!$P$17+AS18/AS$6*Mapping!$P$18+AT18/AT$6*Mapping!$P$19+AU18/AU$6*Mapping!$P$20+AV18/AV$6*Mapping!$P$21+AW18/AW$6*Mapping!$P$22+AX18/AX$6*Mapping!$P$23)/SUM(Mapping!$P$15:$P$23),"")</f>
        <v/>
      </c>
      <c r="BR18" s="65">
        <f>IF(BA18="","",BA18+N(AS18)/10000)</f>
        <v/>
      </c>
    </row>
    <row r="19" ht="30" customHeight="1">
      <c r="A19" s="28" t="n">
        <v>13</v>
      </c>
      <c r="B19" s="29" t="inlineStr">
        <is>
          <t>5th Sem - B</t>
        </is>
      </c>
      <c r="C19" s="29" t="n"/>
      <c r="D19" s="6" t="n"/>
      <c r="E19" s="6" t="n"/>
      <c r="F19" s="29" t="n"/>
      <c r="G19" s="29" t="n"/>
      <c r="H19" s="6" t="n"/>
      <c r="I19" s="29" t="n"/>
      <c r="J19" s="29" t="n"/>
      <c r="K19" s="29" t="n"/>
      <c r="L19" s="29" t="n"/>
      <c r="M19" s="29" t="n"/>
      <c r="N19" s="29" t="n"/>
      <c r="O19" s="29" t="n"/>
      <c r="P19" s="29" t="n"/>
      <c r="Q19" s="29" t="n"/>
      <c r="R19" s="29" t="n"/>
      <c r="S19" s="29" t="n"/>
      <c r="T19" s="29" t="n"/>
      <c r="U19" s="29" t="n"/>
      <c r="V19" s="29" t="n"/>
      <c r="W19" s="29" t="n"/>
      <c r="X19" s="29" t="n"/>
      <c r="Y19" s="29" t="n"/>
      <c r="Z19" s="29" t="n"/>
      <c r="AA19" s="29" t="n"/>
      <c r="AB19" s="29" t="n"/>
      <c r="AC19" s="29" t="n"/>
      <c r="AD19" s="29" t="n"/>
      <c r="AE19" s="29" t="n"/>
      <c r="AF19" s="29" t="n"/>
      <c r="AG19" s="29" t="n"/>
      <c r="AH19" s="29" t="n"/>
      <c r="AI19" s="29" t="n"/>
      <c r="AJ19" s="29" t="n"/>
      <c r="AK19" s="29" t="n"/>
      <c r="AL19" s="29" t="n"/>
      <c r="AM19" s="29" t="n"/>
      <c r="AN19" s="29" t="n"/>
      <c r="AO19" s="29" t="n"/>
      <c r="AP19" s="59">
        <f>IF(COUNT(I19,T19,AE19)=0,"",AVERAGE(I19,T19,AE19))</f>
        <v/>
      </c>
      <c r="AQ19" s="59">
        <f>IF(COUNT(J19,U19,AF19)=0,"",AVERAGE(J19,U19,AF19))</f>
        <v/>
      </c>
      <c r="AR19" s="59">
        <f>IF(COUNT(K19,V19,AG19)=0,"",AVERAGE(K19,V19,AG19))</f>
        <v/>
      </c>
      <c r="AS19" s="59">
        <f>IF(COUNT(L19,W19,AH19)=0,"",AVERAGE(L19,W19,AH19))</f>
        <v/>
      </c>
      <c r="AT19" s="59">
        <f>IF(COUNT(M19,X19,AI19)=0,"",AVERAGE(M19,X19,AI19))</f>
        <v/>
      </c>
      <c r="AU19" s="59">
        <f>IF(COUNT(N19,Y19,AJ19)=0,"",AVERAGE(N19,Y19,AJ19))</f>
        <v/>
      </c>
      <c r="AV19" s="59">
        <f>IF(COUNT(O19,Z19,AK19)=0,"",AVERAGE(O19,Z19,AK19))</f>
        <v/>
      </c>
      <c r="AW19" s="59">
        <f>IF(COUNT(P19,AA19,AL19)=0,"",AVERAGE(P19,AA19,AL19))</f>
        <v/>
      </c>
      <c r="AX19" s="59">
        <f>IF(COUNT(Q19,AB19,AM19)=0,"",AVERAGE(Q19,AB19,AM19))</f>
        <v/>
      </c>
      <c r="AY19" s="60">
        <f>IF(OR($F19="",COUNT(R19,AC19,AN19)=0),"",AVERAGE(R19,AC19,AN19))</f>
        <v/>
      </c>
      <c r="AZ19" s="60">
        <f>IF(OR($G19="",$G19=$F19,COUNT(S19,AD19,AO19)=0),"",AVERAGE(S19,AD19,AO19))</f>
        <v/>
      </c>
      <c r="BA19" s="61">
        <f>IF(COUNT(AP19:AX19)=0,"",SUM(AP19:AX19))</f>
        <v/>
      </c>
      <c r="BB19" s="62">
        <f>IF(BA19="","",BA19/BA$6)</f>
        <v/>
      </c>
      <c r="BC19" s="14">
        <f>IF(BR19="","",COUNTIF($BR$7:$BR$26,"&gt;"&amp;BR19)+COUNTIF($BR$7:BR19,BR19))</f>
        <v/>
      </c>
      <c r="BD19" s="63">
        <f>IF(BC19="","",IF(BC19&lt;=Mapping!$C$11,"Shortlisted","Not shortlisted"))</f>
        <v/>
      </c>
      <c r="BE19" s="64">
        <f>IFERROR((AP19/AP$6*Mapping!$D$15+AQ19/AQ$6*Mapping!$D$16+AR19/AR$6*Mapping!$D$17+AS19/AS$6*Mapping!$D$18+AT19/AT$6*Mapping!$D$19+AU19/AU$6*Mapping!$D$20+AV19/AV$6*Mapping!$D$21+AW19/AW$6*Mapping!$D$22+AX19/AX$6*Mapping!$D$23)/SUM(Mapping!$D$15:$D$23),"")</f>
        <v/>
      </c>
      <c r="BF19" s="64">
        <f>IFERROR((AP19/AP$6*Mapping!$E$15+AQ19/AQ$6*Mapping!$E$16+AR19/AR$6*Mapping!$E$17+AS19/AS$6*Mapping!$E$18+AT19/AT$6*Mapping!$E$19+AU19/AU$6*Mapping!$E$20+AV19/AV$6*Mapping!$E$21+AW19/AW$6*Mapping!$E$22+AX19/AX$6*Mapping!$E$23)/SUM(Mapping!$E$15:$E$23),"")</f>
        <v/>
      </c>
      <c r="BG19" s="64">
        <f>IFERROR((AP19/AP$6*Mapping!$F$15+AQ19/AQ$6*Mapping!$F$16+AR19/AR$6*Mapping!$F$17+AS19/AS$6*Mapping!$F$18+AT19/AT$6*Mapping!$F$19+AU19/AU$6*Mapping!$F$20+AV19/AV$6*Mapping!$F$21+AW19/AW$6*Mapping!$F$22+AX19/AX$6*Mapping!$F$23)/SUM(Mapping!$F$15:$F$23),"")</f>
        <v/>
      </c>
      <c r="BH19" s="64">
        <f>IFERROR((AP19/AP$6*Mapping!$G$15+AQ19/AQ$6*Mapping!$G$16+AR19/AR$6*Mapping!$G$17+AS19/AS$6*Mapping!$G$18+AT19/AT$6*Mapping!$G$19+AU19/AU$6*Mapping!$G$20+AV19/AV$6*Mapping!$G$21+AW19/AW$6*Mapping!$G$22+AX19/AX$6*Mapping!$G$23)/SUM(Mapping!$G$15:$G$23),"")</f>
        <v/>
      </c>
      <c r="BI19" s="64">
        <f>IFERROR((AP19/AP$6*Mapping!$H$15+AQ19/AQ$6*Mapping!$H$16+AR19/AR$6*Mapping!$H$17+AS19/AS$6*Mapping!$H$18+AT19/AT$6*Mapping!$H$19+AU19/AU$6*Mapping!$H$20+AV19/AV$6*Mapping!$H$21+AW19/AW$6*Mapping!$H$22+AX19/AX$6*Mapping!$H$23)/SUM(Mapping!$H$15:$H$23),"")</f>
        <v/>
      </c>
      <c r="BJ19" s="64">
        <f>IFERROR((AP19/AP$6*Mapping!$I$15+AQ19/AQ$6*Mapping!$I$16+AR19/AR$6*Mapping!$I$17+AS19/AS$6*Mapping!$I$18+AT19/AT$6*Mapping!$I$19+AU19/AU$6*Mapping!$I$20+AV19/AV$6*Mapping!$I$21+AW19/AW$6*Mapping!$I$22+AX19/AX$6*Mapping!$I$23)/SUM(Mapping!$I$15:$I$23),"")</f>
        <v/>
      </c>
      <c r="BK19" s="64">
        <f>IFERROR((AP19/AP$6*Mapping!$J$15+AQ19/AQ$6*Mapping!$J$16+AR19/AR$6*Mapping!$J$17+AS19/AS$6*Mapping!$J$18+AT19/AT$6*Mapping!$J$19+AU19/AU$6*Mapping!$J$20+AV19/AV$6*Mapping!$J$21+AW19/AW$6*Mapping!$J$22+AX19/AX$6*Mapping!$J$23)/SUM(Mapping!$J$15:$J$23),"")</f>
        <v/>
      </c>
      <c r="BL19" s="64">
        <f>IFERROR((AP19/AP$6*Mapping!$K$15+AQ19/AQ$6*Mapping!$K$16+AR19/AR$6*Mapping!$K$17+AS19/AS$6*Mapping!$K$18+AT19/AT$6*Mapping!$K$19+AU19/AU$6*Mapping!$K$20+AV19/AV$6*Mapping!$K$21+AW19/AW$6*Mapping!$K$22+AX19/AX$6*Mapping!$K$23)/SUM(Mapping!$K$15:$K$23),"")</f>
        <v/>
      </c>
      <c r="BM19" s="64">
        <f>IFERROR((AP19/AP$6*Mapping!$L$15+AQ19/AQ$6*Mapping!$L$16+AR19/AR$6*Mapping!$L$17+AS19/AS$6*Mapping!$L$18+AT19/AT$6*Mapping!$L$19+AU19/AU$6*Mapping!$L$20+AV19/AV$6*Mapping!$L$21+AW19/AW$6*Mapping!$L$22+AX19/AX$6*Mapping!$L$23)/SUM(Mapping!$L$15:$L$23),"")</f>
        <v/>
      </c>
      <c r="BN19" s="64">
        <f>IFERROR((AP19/AP$6*Mapping!$M$15+AQ19/AQ$6*Mapping!$M$16+AR19/AR$6*Mapping!$M$17+AS19/AS$6*Mapping!$M$18+AT19/AT$6*Mapping!$M$19+AU19/AU$6*Mapping!$M$20+AV19/AV$6*Mapping!$M$21+AW19/AW$6*Mapping!$M$22+AX19/AX$6*Mapping!$M$23)/SUM(Mapping!$M$15:$M$23),"")</f>
        <v/>
      </c>
      <c r="BO19" s="64">
        <f>IFERROR((AP19/AP$6*Mapping!$N$15+AQ19/AQ$6*Mapping!$N$16+AR19/AR$6*Mapping!$N$17+AS19/AS$6*Mapping!$N$18+AT19/AT$6*Mapping!$N$19+AU19/AU$6*Mapping!$N$20+AV19/AV$6*Mapping!$N$21+AW19/AW$6*Mapping!$N$22+AX19/AX$6*Mapping!$N$23)/SUM(Mapping!$N$15:$N$23),"")</f>
        <v/>
      </c>
      <c r="BP19" s="64">
        <f>IFERROR((AP19/AP$6*Mapping!$O$15+AQ19/AQ$6*Mapping!$O$16+AR19/AR$6*Mapping!$O$17+AS19/AS$6*Mapping!$O$18+AT19/AT$6*Mapping!$O$19+AU19/AU$6*Mapping!$O$20+AV19/AV$6*Mapping!$O$21+AW19/AW$6*Mapping!$O$22+AX19/AX$6*Mapping!$O$23)/SUM(Mapping!$O$15:$O$23),"")</f>
        <v/>
      </c>
      <c r="BQ19" s="64">
        <f>IFERROR((AP19/AP$6*Mapping!$P$15+AQ19/AQ$6*Mapping!$P$16+AR19/AR$6*Mapping!$P$17+AS19/AS$6*Mapping!$P$18+AT19/AT$6*Mapping!$P$19+AU19/AU$6*Mapping!$P$20+AV19/AV$6*Mapping!$P$21+AW19/AW$6*Mapping!$P$22+AX19/AX$6*Mapping!$P$23)/SUM(Mapping!$P$15:$P$23),"")</f>
        <v/>
      </c>
      <c r="BR19" s="65">
        <f>IF(BA19="","",BA19+N(AS19)/10000)</f>
        <v/>
      </c>
    </row>
    <row r="20" ht="30" customHeight="1">
      <c r="A20" s="28" t="n">
        <v>14</v>
      </c>
      <c r="B20" s="29" t="inlineStr">
        <is>
          <t>5th Sem - B</t>
        </is>
      </c>
      <c r="C20" s="29" t="n"/>
      <c r="D20" s="6" t="n"/>
      <c r="E20" s="6" t="n"/>
      <c r="F20" s="29" t="n"/>
      <c r="G20" s="29" t="n"/>
      <c r="H20" s="6" t="n"/>
      <c r="I20" s="29" t="n"/>
      <c r="J20" s="29" t="n"/>
      <c r="K20" s="29" t="n"/>
      <c r="L20" s="29" t="n"/>
      <c r="M20" s="29" t="n"/>
      <c r="N20" s="29" t="n"/>
      <c r="O20" s="29" t="n"/>
      <c r="P20" s="29" t="n"/>
      <c r="Q20" s="29" t="n"/>
      <c r="R20" s="29" t="n"/>
      <c r="S20" s="29" t="n"/>
      <c r="T20" s="29" t="n"/>
      <c r="U20" s="29" t="n"/>
      <c r="V20" s="29" t="n"/>
      <c r="W20" s="29" t="n"/>
      <c r="X20" s="29" t="n"/>
      <c r="Y20" s="29" t="n"/>
      <c r="Z20" s="29" t="n"/>
      <c r="AA20" s="29" t="n"/>
      <c r="AB20" s="29" t="n"/>
      <c r="AC20" s="29" t="n"/>
      <c r="AD20" s="29" t="n"/>
      <c r="AE20" s="29" t="n"/>
      <c r="AF20" s="29" t="n"/>
      <c r="AG20" s="29" t="n"/>
      <c r="AH20" s="29" t="n"/>
      <c r="AI20" s="29" t="n"/>
      <c r="AJ20" s="29" t="n"/>
      <c r="AK20" s="29" t="n"/>
      <c r="AL20" s="29" t="n"/>
      <c r="AM20" s="29" t="n"/>
      <c r="AN20" s="29" t="n"/>
      <c r="AO20" s="29" t="n"/>
      <c r="AP20" s="59">
        <f>IF(COUNT(I20,T20,AE20)=0,"",AVERAGE(I20,T20,AE20))</f>
        <v/>
      </c>
      <c r="AQ20" s="59">
        <f>IF(COUNT(J20,U20,AF20)=0,"",AVERAGE(J20,U20,AF20))</f>
        <v/>
      </c>
      <c r="AR20" s="59">
        <f>IF(COUNT(K20,V20,AG20)=0,"",AVERAGE(K20,V20,AG20))</f>
        <v/>
      </c>
      <c r="AS20" s="59">
        <f>IF(COUNT(L20,W20,AH20)=0,"",AVERAGE(L20,W20,AH20))</f>
        <v/>
      </c>
      <c r="AT20" s="59">
        <f>IF(COUNT(M20,X20,AI20)=0,"",AVERAGE(M20,X20,AI20))</f>
        <v/>
      </c>
      <c r="AU20" s="59">
        <f>IF(COUNT(N20,Y20,AJ20)=0,"",AVERAGE(N20,Y20,AJ20))</f>
        <v/>
      </c>
      <c r="AV20" s="59">
        <f>IF(COUNT(O20,Z20,AK20)=0,"",AVERAGE(O20,Z20,AK20))</f>
        <v/>
      </c>
      <c r="AW20" s="59">
        <f>IF(COUNT(P20,AA20,AL20)=0,"",AVERAGE(P20,AA20,AL20))</f>
        <v/>
      </c>
      <c r="AX20" s="59">
        <f>IF(COUNT(Q20,AB20,AM20)=0,"",AVERAGE(Q20,AB20,AM20))</f>
        <v/>
      </c>
      <c r="AY20" s="60">
        <f>IF(OR($F20="",COUNT(R20,AC20,AN20)=0),"",AVERAGE(R20,AC20,AN20))</f>
        <v/>
      </c>
      <c r="AZ20" s="60">
        <f>IF(OR($G20="",$G20=$F20,COUNT(S20,AD20,AO20)=0),"",AVERAGE(S20,AD20,AO20))</f>
        <v/>
      </c>
      <c r="BA20" s="61">
        <f>IF(COUNT(AP20:AX20)=0,"",SUM(AP20:AX20))</f>
        <v/>
      </c>
      <c r="BB20" s="62">
        <f>IF(BA20="","",BA20/BA$6)</f>
        <v/>
      </c>
      <c r="BC20" s="14">
        <f>IF(BR20="","",COUNTIF($BR$7:$BR$26,"&gt;"&amp;BR20)+COUNTIF($BR$7:BR20,BR20))</f>
        <v/>
      </c>
      <c r="BD20" s="63">
        <f>IF(BC20="","",IF(BC20&lt;=Mapping!$C$11,"Shortlisted","Not shortlisted"))</f>
        <v/>
      </c>
      <c r="BE20" s="64">
        <f>IFERROR((AP20/AP$6*Mapping!$D$15+AQ20/AQ$6*Mapping!$D$16+AR20/AR$6*Mapping!$D$17+AS20/AS$6*Mapping!$D$18+AT20/AT$6*Mapping!$D$19+AU20/AU$6*Mapping!$D$20+AV20/AV$6*Mapping!$D$21+AW20/AW$6*Mapping!$D$22+AX20/AX$6*Mapping!$D$23)/SUM(Mapping!$D$15:$D$23),"")</f>
        <v/>
      </c>
      <c r="BF20" s="64">
        <f>IFERROR((AP20/AP$6*Mapping!$E$15+AQ20/AQ$6*Mapping!$E$16+AR20/AR$6*Mapping!$E$17+AS20/AS$6*Mapping!$E$18+AT20/AT$6*Mapping!$E$19+AU20/AU$6*Mapping!$E$20+AV20/AV$6*Mapping!$E$21+AW20/AW$6*Mapping!$E$22+AX20/AX$6*Mapping!$E$23)/SUM(Mapping!$E$15:$E$23),"")</f>
        <v/>
      </c>
      <c r="BG20" s="64">
        <f>IFERROR((AP20/AP$6*Mapping!$F$15+AQ20/AQ$6*Mapping!$F$16+AR20/AR$6*Mapping!$F$17+AS20/AS$6*Mapping!$F$18+AT20/AT$6*Mapping!$F$19+AU20/AU$6*Mapping!$F$20+AV20/AV$6*Mapping!$F$21+AW20/AW$6*Mapping!$F$22+AX20/AX$6*Mapping!$F$23)/SUM(Mapping!$F$15:$F$23),"")</f>
        <v/>
      </c>
      <c r="BH20" s="64">
        <f>IFERROR((AP20/AP$6*Mapping!$G$15+AQ20/AQ$6*Mapping!$G$16+AR20/AR$6*Mapping!$G$17+AS20/AS$6*Mapping!$G$18+AT20/AT$6*Mapping!$G$19+AU20/AU$6*Mapping!$G$20+AV20/AV$6*Mapping!$G$21+AW20/AW$6*Mapping!$G$22+AX20/AX$6*Mapping!$G$23)/SUM(Mapping!$G$15:$G$23),"")</f>
        <v/>
      </c>
      <c r="BI20" s="64">
        <f>IFERROR((AP20/AP$6*Mapping!$H$15+AQ20/AQ$6*Mapping!$H$16+AR20/AR$6*Mapping!$H$17+AS20/AS$6*Mapping!$H$18+AT20/AT$6*Mapping!$H$19+AU20/AU$6*Mapping!$H$20+AV20/AV$6*Mapping!$H$21+AW20/AW$6*Mapping!$H$22+AX20/AX$6*Mapping!$H$23)/SUM(Mapping!$H$15:$H$23),"")</f>
        <v/>
      </c>
      <c r="BJ20" s="64">
        <f>IFERROR((AP20/AP$6*Mapping!$I$15+AQ20/AQ$6*Mapping!$I$16+AR20/AR$6*Mapping!$I$17+AS20/AS$6*Mapping!$I$18+AT20/AT$6*Mapping!$I$19+AU20/AU$6*Mapping!$I$20+AV20/AV$6*Mapping!$I$21+AW20/AW$6*Mapping!$I$22+AX20/AX$6*Mapping!$I$23)/SUM(Mapping!$I$15:$I$23),"")</f>
        <v/>
      </c>
      <c r="BK20" s="64">
        <f>IFERROR((AP20/AP$6*Mapping!$J$15+AQ20/AQ$6*Mapping!$J$16+AR20/AR$6*Mapping!$J$17+AS20/AS$6*Mapping!$J$18+AT20/AT$6*Mapping!$J$19+AU20/AU$6*Mapping!$J$20+AV20/AV$6*Mapping!$J$21+AW20/AW$6*Mapping!$J$22+AX20/AX$6*Mapping!$J$23)/SUM(Mapping!$J$15:$J$23),"")</f>
        <v/>
      </c>
      <c r="BL20" s="64">
        <f>IFERROR((AP20/AP$6*Mapping!$K$15+AQ20/AQ$6*Mapping!$K$16+AR20/AR$6*Mapping!$K$17+AS20/AS$6*Mapping!$K$18+AT20/AT$6*Mapping!$K$19+AU20/AU$6*Mapping!$K$20+AV20/AV$6*Mapping!$K$21+AW20/AW$6*Mapping!$K$22+AX20/AX$6*Mapping!$K$23)/SUM(Mapping!$K$15:$K$23),"")</f>
        <v/>
      </c>
      <c r="BM20" s="64">
        <f>IFERROR((AP20/AP$6*Mapping!$L$15+AQ20/AQ$6*Mapping!$L$16+AR20/AR$6*Mapping!$L$17+AS20/AS$6*Mapping!$L$18+AT20/AT$6*Mapping!$L$19+AU20/AU$6*Mapping!$L$20+AV20/AV$6*Mapping!$L$21+AW20/AW$6*Mapping!$L$22+AX20/AX$6*Mapping!$L$23)/SUM(Mapping!$L$15:$L$23),"")</f>
        <v/>
      </c>
      <c r="BN20" s="64">
        <f>IFERROR((AP20/AP$6*Mapping!$M$15+AQ20/AQ$6*Mapping!$M$16+AR20/AR$6*Mapping!$M$17+AS20/AS$6*Mapping!$M$18+AT20/AT$6*Mapping!$M$19+AU20/AU$6*Mapping!$M$20+AV20/AV$6*Mapping!$M$21+AW20/AW$6*Mapping!$M$22+AX20/AX$6*Mapping!$M$23)/SUM(Mapping!$M$15:$M$23),"")</f>
        <v/>
      </c>
      <c r="BO20" s="64">
        <f>IFERROR((AP20/AP$6*Mapping!$N$15+AQ20/AQ$6*Mapping!$N$16+AR20/AR$6*Mapping!$N$17+AS20/AS$6*Mapping!$N$18+AT20/AT$6*Mapping!$N$19+AU20/AU$6*Mapping!$N$20+AV20/AV$6*Mapping!$N$21+AW20/AW$6*Mapping!$N$22+AX20/AX$6*Mapping!$N$23)/SUM(Mapping!$N$15:$N$23),"")</f>
        <v/>
      </c>
      <c r="BP20" s="64">
        <f>IFERROR((AP20/AP$6*Mapping!$O$15+AQ20/AQ$6*Mapping!$O$16+AR20/AR$6*Mapping!$O$17+AS20/AS$6*Mapping!$O$18+AT20/AT$6*Mapping!$O$19+AU20/AU$6*Mapping!$O$20+AV20/AV$6*Mapping!$O$21+AW20/AW$6*Mapping!$O$22+AX20/AX$6*Mapping!$O$23)/SUM(Mapping!$O$15:$O$23),"")</f>
        <v/>
      </c>
      <c r="BQ20" s="64">
        <f>IFERROR((AP20/AP$6*Mapping!$P$15+AQ20/AQ$6*Mapping!$P$16+AR20/AR$6*Mapping!$P$17+AS20/AS$6*Mapping!$P$18+AT20/AT$6*Mapping!$P$19+AU20/AU$6*Mapping!$P$20+AV20/AV$6*Mapping!$P$21+AW20/AW$6*Mapping!$P$22+AX20/AX$6*Mapping!$P$23)/SUM(Mapping!$P$15:$P$23),"")</f>
        <v/>
      </c>
      <c r="BR20" s="65">
        <f>IF(BA20="","",BA20+N(AS20)/10000)</f>
        <v/>
      </c>
    </row>
    <row r="21" ht="30" customHeight="1">
      <c r="A21" s="28" t="n">
        <v>15</v>
      </c>
      <c r="B21" s="29" t="inlineStr">
        <is>
          <t>5th Sem - B</t>
        </is>
      </c>
      <c r="C21" s="29" t="n"/>
      <c r="D21" s="6" t="n"/>
      <c r="E21" s="6" t="n"/>
      <c r="F21" s="29" t="n"/>
      <c r="G21" s="29" t="n"/>
      <c r="H21" s="6" t="n"/>
      <c r="I21" s="29" t="n"/>
      <c r="J21" s="29" t="n"/>
      <c r="K21" s="29" t="n"/>
      <c r="L21" s="29" t="n"/>
      <c r="M21" s="29" t="n"/>
      <c r="N21" s="29" t="n"/>
      <c r="O21" s="29" t="n"/>
      <c r="P21" s="29" t="n"/>
      <c r="Q21" s="29" t="n"/>
      <c r="R21" s="29" t="n"/>
      <c r="S21" s="29" t="n"/>
      <c r="T21" s="29" t="n"/>
      <c r="U21" s="29" t="n"/>
      <c r="V21" s="29" t="n"/>
      <c r="W21" s="29" t="n"/>
      <c r="X21" s="29" t="n"/>
      <c r="Y21" s="29" t="n"/>
      <c r="Z21" s="29" t="n"/>
      <c r="AA21" s="29" t="n"/>
      <c r="AB21" s="29" t="n"/>
      <c r="AC21" s="29" t="n"/>
      <c r="AD21" s="29" t="n"/>
      <c r="AE21" s="29" t="n"/>
      <c r="AF21" s="29" t="n"/>
      <c r="AG21" s="29" t="n"/>
      <c r="AH21" s="29" t="n"/>
      <c r="AI21" s="29" t="n"/>
      <c r="AJ21" s="29" t="n"/>
      <c r="AK21" s="29" t="n"/>
      <c r="AL21" s="29" t="n"/>
      <c r="AM21" s="29" t="n"/>
      <c r="AN21" s="29" t="n"/>
      <c r="AO21" s="29" t="n"/>
      <c r="AP21" s="59">
        <f>IF(COUNT(I21,T21,AE21)=0,"",AVERAGE(I21,T21,AE21))</f>
        <v/>
      </c>
      <c r="AQ21" s="59">
        <f>IF(COUNT(J21,U21,AF21)=0,"",AVERAGE(J21,U21,AF21))</f>
        <v/>
      </c>
      <c r="AR21" s="59">
        <f>IF(COUNT(K21,V21,AG21)=0,"",AVERAGE(K21,V21,AG21))</f>
        <v/>
      </c>
      <c r="AS21" s="59">
        <f>IF(COUNT(L21,W21,AH21)=0,"",AVERAGE(L21,W21,AH21))</f>
        <v/>
      </c>
      <c r="AT21" s="59">
        <f>IF(COUNT(M21,X21,AI21)=0,"",AVERAGE(M21,X21,AI21))</f>
        <v/>
      </c>
      <c r="AU21" s="59">
        <f>IF(COUNT(N21,Y21,AJ21)=0,"",AVERAGE(N21,Y21,AJ21))</f>
        <v/>
      </c>
      <c r="AV21" s="59">
        <f>IF(COUNT(O21,Z21,AK21)=0,"",AVERAGE(O21,Z21,AK21))</f>
        <v/>
      </c>
      <c r="AW21" s="59">
        <f>IF(COUNT(P21,AA21,AL21)=0,"",AVERAGE(P21,AA21,AL21))</f>
        <v/>
      </c>
      <c r="AX21" s="59">
        <f>IF(COUNT(Q21,AB21,AM21)=0,"",AVERAGE(Q21,AB21,AM21))</f>
        <v/>
      </c>
      <c r="AY21" s="60">
        <f>IF(OR($F21="",COUNT(R21,AC21,AN21)=0),"",AVERAGE(R21,AC21,AN21))</f>
        <v/>
      </c>
      <c r="AZ21" s="60">
        <f>IF(OR($G21="",$G21=$F21,COUNT(S21,AD21,AO21)=0),"",AVERAGE(S21,AD21,AO21))</f>
        <v/>
      </c>
      <c r="BA21" s="61">
        <f>IF(COUNT(AP21:AX21)=0,"",SUM(AP21:AX21))</f>
        <v/>
      </c>
      <c r="BB21" s="62">
        <f>IF(BA21="","",BA21/BA$6)</f>
        <v/>
      </c>
      <c r="BC21" s="14">
        <f>IF(BR21="","",COUNTIF($BR$7:$BR$26,"&gt;"&amp;BR21)+COUNTIF($BR$7:BR21,BR21))</f>
        <v/>
      </c>
      <c r="BD21" s="63">
        <f>IF(BC21="","",IF(BC21&lt;=Mapping!$C$11,"Shortlisted","Not shortlisted"))</f>
        <v/>
      </c>
      <c r="BE21" s="64">
        <f>IFERROR((AP21/AP$6*Mapping!$D$15+AQ21/AQ$6*Mapping!$D$16+AR21/AR$6*Mapping!$D$17+AS21/AS$6*Mapping!$D$18+AT21/AT$6*Mapping!$D$19+AU21/AU$6*Mapping!$D$20+AV21/AV$6*Mapping!$D$21+AW21/AW$6*Mapping!$D$22+AX21/AX$6*Mapping!$D$23)/SUM(Mapping!$D$15:$D$23),"")</f>
        <v/>
      </c>
      <c r="BF21" s="64">
        <f>IFERROR((AP21/AP$6*Mapping!$E$15+AQ21/AQ$6*Mapping!$E$16+AR21/AR$6*Mapping!$E$17+AS21/AS$6*Mapping!$E$18+AT21/AT$6*Mapping!$E$19+AU21/AU$6*Mapping!$E$20+AV21/AV$6*Mapping!$E$21+AW21/AW$6*Mapping!$E$22+AX21/AX$6*Mapping!$E$23)/SUM(Mapping!$E$15:$E$23),"")</f>
        <v/>
      </c>
      <c r="BG21" s="64">
        <f>IFERROR((AP21/AP$6*Mapping!$F$15+AQ21/AQ$6*Mapping!$F$16+AR21/AR$6*Mapping!$F$17+AS21/AS$6*Mapping!$F$18+AT21/AT$6*Mapping!$F$19+AU21/AU$6*Mapping!$F$20+AV21/AV$6*Mapping!$F$21+AW21/AW$6*Mapping!$F$22+AX21/AX$6*Mapping!$F$23)/SUM(Mapping!$F$15:$F$23),"")</f>
        <v/>
      </c>
      <c r="BH21" s="64">
        <f>IFERROR((AP21/AP$6*Mapping!$G$15+AQ21/AQ$6*Mapping!$G$16+AR21/AR$6*Mapping!$G$17+AS21/AS$6*Mapping!$G$18+AT21/AT$6*Mapping!$G$19+AU21/AU$6*Mapping!$G$20+AV21/AV$6*Mapping!$G$21+AW21/AW$6*Mapping!$G$22+AX21/AX$6*Mapping!$G$23)/SUM(Mapping!$G$15:$G$23),"")</f>
        <v/>
      </c>
      <c r="BI21" s="64">
        <f>IFERROR((AP21/AP$6*Mapping!$H$15+AQ21/AQ$6*Mapping!$H$16+AR21/AR$6*Mapping!$H$17+AS21/AS$6*Mapping!$H$18+AT21/AT$6*Mapping!$H$19+AU21/AU$6*Mapping!$H$20+AV21/AV$6*Mapping!$H$21+AW21/AW$6*Mapping!$H$22+AX21/AX$6*Mapping!$H$23)/SUM(Mapping!$H$15:$H$23),"")</f>
        <v/>
      </c>
      <c r="BJ21" s="64">
        <f>IFERROR((AP21/AP$6*Mapping!$I$15+AQ21/AQ$6*Mapping!$I$16+AR21/AR$6*Mapping!$I$17+AS21/AS$6*Mapping!$I$18+AT21/AT$6*Mapping!$I$19+AU21/AU$6*Mapping!$I$20+AV21/AV$6*Mapping!$I$21+AW21/AW$6*Mapping!$I$22+AX21/AX$6*Mapping!$I$23)/SUM(Mapping!$I$15:$I$23),"")</f>
        <v/>
      </c>
      <c r="BK21" s="64">
        <f>IFERROR((AP21/AP$6*Mapping!$J$15+AQ21/AQ$6*Mapping!$J$16+AR21/AR$6*Mapping!$J$17+AS21/AS$6*Mapping!$J$18+AT21/AT$6*Mapping!$J$19+AU21/AU$6*Mapping!$J$20+AV21/AV$6*Mapping!$J$21+AW21/AW$6*Mapping!$J$22+AX21/AX$6*Mapping!$J$23)/SUM(Mapping!$J$15:$J$23),"")</f>
        <v/>
      </c>
      <c r="BL21" s="64">
        <f>IFERROR((AP21/AP$6*Mapping!$K$15+AQ21/AQ$6*Mapping!$K$16+AR21/AR$6*Mapping!$K$17+AS21/AS$6*Mapping!$K$18+AT21/AT$6*Mapping!$K$19+AU21/AU$6*Mapping!$K$20+AV21/AV$6*Mapping!$K$21+AW21/AW$6*Mapping!$K$22+AX21/AX$6*Mapping!$K$23)/SUM(Mapping!$K$15:$K$23),"")</f>
        <v/>
      </c>
      <c r="BM21" s="64">
        <f>IFERROR((AP21/AP$6*Mapping!$L$15+AQ21/AQ$6*Mapping!$L$16+AR21/AR$6*Mapping!$L$17+AS21/AS$6*Mapping!$L$18+AT21/AT$6*Mapping!$L$19+AU21/AU$6*Mapping!$L$20+AV21/AV$6*Mapping!$L$21+AW21/AW$6*Mapping!$L$22+AX21/AX$6*Mapping!$L$23)/SUM(Mapping!$L$15:$L$23),"")</f>
        <v/>
      </c>
      <c r="BN21" s="64">
        <f>IFERROR((AP21/AP$6*Mapping!$M$15+AQ21/AQ$6*Mapping!$M$16+AR21/AR$6*Mapping!$M$17+AS21/AS$6*Mapping!$M$18+AT21/AT$6*Mapping!$M$19+AU21/AU$6*Mapping!$M$20+AV21/AV$6*Mapping!$M$21+AW21/AW$6*Mapping!$M$22+AX21/AX$6*Mapping!$M$23)/SUM(Mapping!$M$15:$M$23),"")</f>
        <v/>
      </c>
      <c r="BO21" s="64">
        <f>IFERROR((AP21/AP$6*Mapping!$N$15+AQ21/AQ$6*Mapping!$N$16+AR21/AR$6*Mapping!$N$17+AS21/AS$6*Mapping!$N$18+AT21/AT$6*Mapping!$N$19+AU21/AU$6*Mapping!$N$20+AV21/AV$6*Mapping!$N$21+AW21/AW$6*Mapping!$N$22+AX21/AX$6*Mapping!$N$23)/SUM(Mapping!$N$15:$N$23),"")</f>
        <v/>
      </c>
      <c r="BP21" s="64">
        <f>IFERROR((AP21/AP$6*Mapping!$O$15+AQ21/AQ$6*Mapping!$O$16+AR21/AR$6*Mapping!$O$17+AS21/AS$6*Mapping!$O$18+AT21/AT$6*Mapping!$O$19+AU21/AU$6*Mapping!$O$20+AV21/AV$6*Mapping!$O$21+AW21/AW$6*Mapping!$O$22+AX21/AX$6*Mapping!$O$23)/SUM(Mapping!$O$15:$O$23),"")</f>
        <v/>
      </c>
      <c r="BQ21" s="64">
        <f>IFERROR((AP21/AP$6*Mapping!$P$15+AQ21/AQ$6*Mapping!$P$16+AR21/AR$6*Mapping!$P$17+AS21/AS$6*Mapping!$P$18+AT21/AT$6*Mapping!$P$19+AU21/AU$6*Mapping!$P$20+AV21/AV$6*Mapping!$P$21+AW21/AW$6*Mapping!$P$22+AX21/AX$6*Mapping!$P$23)/SUM(Mapping!$P$15:$P$23),"")</f>
        <v/>
      </c>
      <c r="BR21" s="65">
        <f>IF(BA21="","",BA21+N(AS21)/10000)</f>
        <v/>
      </c>
    </row>
    <row r="22" ht="30" customHeight="1">
      <c r="A22" s="28" t="n">
        <v>16</v>
      </c>
      <c r="B22" s="29" t="inlineStr">
        <is>
          <t>5th Sem - B</t>
        </is>
      </c>
      <c r="C22" s="29" t="n"/>
      <c r="D22" s="6" t="n"/>
      <c r="E22" s="6" t="n"/>
      <c r="F22" s="29" t="n"/>
      <c r="G22" s="29" t="n"/>
      <c r="H22" s="6" t="n"/>
      <c r="I22" s="29" t="n"/>
      <c r="J22" s="29" t="n"/>
      <c r="K22" s="29" t="n"/>
      <c r="L22" s="29" t="n"/>
      <c r="M22" s="29" t="n"/>
      <c r="N22" s="29" t="n"/>
      <c r="O22" s="29" t="n"/>
      <c r="P22" s="29" t="n"/>
      <c r="Q22" s="29" t="n"/>
      <c r="R22" s="29" t="n"/>
      <c r="S22" s="29" t="n"/>
      <c r="T22" s="29" t="n"/>
      <c r="U22" s="29" t="n"/>
      <c r="V22" s="29" t="n"/>
      <c r="W22" s="29" t="n"/>
      <c r="X22" s="29" t="n"/>
      <c r="Y22" s="29" t="n"/>
      <c r="Z22" s="29" t="n"/>
      <c r="AA22" s="29" t="n"/>
      <c r="AB22" s="29" t="n"/>
      <c r="AC22" s="29" t="n"/>
      <c r="AD22" s="29" t="n"/>
      <c r="AE22" s="29" t="n"/>
      <c r="AF22" s="29" t="n"/>
      <c r="AG22" s="29" t="n"/>
      <c r="AH22" s="29" t="n"/>
      <c r="AI22" s="29" t="n"/>
      <c r="AJ22" s="29" t="n"/>
      <c r="AK22" s="29" t="n"/>
      <c r="AL22" s="29" t="n"/>
      <c r="AM22" s="29" t="n"/>
      <c r="AN22" s="29" t="n"/>
      <c r="AO22" s="29" t="n"/>
      <c r="AP22" s="59">
        <f>IF(COUNT(I22,T22,AE22)=0,"",AVERAGE(I22,T22,AE22))</f>
        <v/>
      </c>
      <c r="AQ22" s="59">
        <f>IF(COUNT(J22,U22,AF22)=0,"",AVERAGE(J22,U22,AF22))</f>
        <v/>
      </c>
      <c r="AR22" s="59">
        <f>IF(COUNT(K22,V22,AG22)=0,"",AVERAGE(K22,V22,AG22))</f>
        <v/>
      </c>
      <c r="AS22" s="59">
        <f>IF(COUNT(L22,W22,AH22)=0,"",AVERAGE(L22,W22,AH22))</f>
        <v/>
      </c>
      <c r="AT22" s="59">
        <f>IF(COUNT(M22,X22,AI22)=0,"",AVERAGE(M22,X22,AI22))</f>
        <v/>
      </c>
      <c r="AU22" s="59">
        <f>IF(COUNT(N22,Y22,AJ22)=0,"",AVERAGE(N22,Y22,AJ22))</f>
        <v/>
      </c>
      <c r="AV22" s="59">
        <f>IF(COUNT(O22,Z22,AK22)=0,"",AVERAGE(O22,Z22,AK22))</f>
        <v/>
      </c>
      <c r="AW22" s="59">
        <f>IF(COUNT(P22,AA22,AL22)=0,"",AVERAGE(P22,AA22,AL22))</f>
        <v/>
      </c>
      <c r="AX22" s="59">
        <f>IF(COUNT(Q22,AB22,AM22)=0,"",AVERAGE(Q22,AB22,AM22))</f>
        <v/>
      </c>
      <c r="AY22" s="60">
        <f>IF(OR($F22="",COUNT(R22,AC22,AN22)=0),"",AVERAGE(R22,AC22,AN22))</f>
        <v/>
      </c>
      <c r="AZ22" s="60">
        <f>IF(OR($G22="",$G22=$F22,COUNT(S22,AD22,AO22)=0),"",AVERAGE(S22,AD22,AO22))</f>
        <v/>
      </c>
      <c r="BA22" s="61">
        <f>IF(COUNT(AP22:AX22)=0,"",SUM(AP22:AX22))</f>
        <v/>
      </c>
      <c r="BB22" s="62">
        <f>IF(BA22="","",BA22/BA$6)</f>
        <v/>
      </c>
      <c r="BC22" s="14">
        <f>IF(BR22="","",COUNTIF($BR$7:$BR$26,"&gt;"&amp;BR22)+COUNTIF($BR$7:BR22,BR22))</f>
        <v/>
      </c>
      <c r="BD22" s="63">
        <f>IF(BC22="","",IF(BC22&lt;=Mapping!$C$11,"Shortlisted","Not shortlisted"))</f>
        <v/>
      </c>
      <c r="BE22" s="64">
        <f>IFERROR((AP22/AP$6*Mapping!$D$15+AQ22/AQ$6*Mapping!$D$16+AR22/AR$6*Mapping!$D$17+AS22/AS$6*Mapping!$D$18+AT22/AT$6*Mapping!$D$19+AU22/AU$6*Mapping!$D$20+AV22/AV$6*Mapping!$D$21+AW22/AW$6*Mapping!$D$22+AX22/AX$6*Mapping!$D$23)/SUM(Mapping!$D$15:$D$23),"")</f>
        <v/>
      </c>
      <c r="BF22" s="64">
        <f>IFERROR((AP22/AP$6*Mapping!$E$15+AQ22/AQ$6*Mapping!$E$16+AR22/AR$6*Mapping!$E$17+AS22/AS$6*Mapping!$E$18+AT22/AT$6*Mapping!$E$19+AU22/AU$6*Mapping!$E$20+AV22/AV$6*Mapping!$E$21+AW22/AW$6*Mapping!$E$22+AX22/AX$6*Mapping!$E$23)/SUM(Mapping!$E$15:$E$23),"")</f>
        <v/>
      </c>
      <c r="BG22" s="64">
        <f>IFERROR((AP22/AP$6*Mapping!$F$15+AQ22/AQ$6*Mapping!$F$16+AR22/AR$6*Mapping!$F$17+AS22/AS$6*Mapping!$F$18+AT22/AT$6*Mapping!$F$19+AU22/AU$6*Mapping!$F$20+AV22/AV$6*Mapping!$F$21+AW22/AW$6*Mapping!$F$22+AX22/AX$6*Mapping!$F$23)/SUM(Mapping!$F$15:$F$23),"")</f>
        <v/>
      </c>
      <c r="BH22" s="64">
        <f>IFERROR((AP22/AP$6*Mapping!$G$15+AQ22/AQ$6*Mapping!$G$16+AR22/AR$6*Mapping!$G$17+AS22/AS$6*Mapping!$G$18+AT22/AT$6*Mapping!$G$19+AU22/AU$6*Mapping!$G$20+AV22/AV$6*Mapping!$G$21+AW22/AW$6*Mapping!$G$22+AX22/AX$6*Mapping!$G$23)/SUM(Mapping!$G$15:$G$23),"")</f>
        <v/>
      </c>
      <c r="BI22" s="64">
        <f>IFERROR((AP22/AP$6*Mapping!$H$15+AQ22/AQ$6*Mapping!$H$16+AR22/AR$6*Mapping!$H$17+AS22/AS$6*Mapping!$H$18+AT22/AT$6*Mapping!$H$19+AU22/AU$6*Mapping!$H$20+AV22/AV$6*Mapping!$H$21+AW22/AW$6*Mapping!$H$22+AX22/AX$6*Mapping!$H$23)/SUM(Mapping!$H$15:$H$23),"")</f>
        <v/>
      </c>
      <c r="BJ22" s="64">
        <f>IFERROR((AP22/AP$6*Mapping!$I$15+AQ22/AQ$6*Mapping!$I$16+AR22/AR$6*Mapping!$I$17+AS22/AS$6*Mapping!$I$18+AT22/AT$6*Mapping!$I$19+AU22/AU$6*Mapping!$I$20+AV22/AV$6*Mapping!$I$21+AW22/AW$6*Mapping!$I$22+AX22/AX$6*Mapping!$I$23)/SUM(Mapping!$I$15:$I$23),"")</f>
        <v/>
      </c>
      <c r="BK22" s="64">
        <f>IFERROR((AP22/AP$6*Mapping!$J$15+AQ22/AQ$6*Mapping!$J$16+AR22/AR$6*Mapping!$J$17+AS22/AS$6*Mapping!$J$18+AT22/AT$6*Mapping!$J$19+AU22/AU$6*Mapping!$J$20+AV22/AV$6*Mapping!$J$21+AW22/AW$6*Mapping!$J$22+AX22/AX$6*Mapping!$J$23)/SUM(Mapping!$J$15:$J$23),"")</f>
        <v/>
      </c>
      <c r="BL22" s="64">
        <f>IFERROR((AP22/AP$6*Mapping!$K$15+AQ22/AQ$6*Mapping!$K$16+AR22/AR$6*Mapping!$K$17+AS22/AS$6*Mapping!$K$18+AT22/AT$6*Mapping!$K$19+AU22/AU$6*Mapping!$K$20+AV22/AV$6*Mapping!$K$21+AW22/AW$6*Mapping!$K$22+AX22/AX$6*Mapping!$K$23)/SUM(Mapping!$K$15:$K$23),"")</f>
        <v/>
      </c>
      <c r="BM22" s="64">
        <f>IFERROR((AP22/AP$6*Mapping!$L$15+AQ22/AQ$6*Mapping!$L$16+AR22/AR$6*Mapping!$L$17+AS22/AS$6*Mapping!$L$18+AT22/AT$6*Mapping!$L$19+AU22/AU$6*Mapping!$L$20+AV22/AV$6*Mapping!$L$21+AW22/AW$6*Mapping!$L$22+AX22/AX$6*Mapping!$L$23)/SUM(Mapping!$L$15:$L$23),"")</f>
        <v/>
      </c>
      <c r="BN22" s="64">
        <f>IFERROR((AP22/AP$6*Mapping!$M$15+AQ22/AQ$6*Mapping!$M$16+AR22/AR$6*Mapping!$M$17+AS22/AS$6*Mapping!$M$18+AT22/AT$6*Mapping!$M$19+AU22/AU$6*Mapping!$M$20+AV22/AV$6*Mapping!$M$21+AW22/AW$6*Mapping!$M$22+AX22/AX$6*Mapping!$M$23)/SUM(Mapping!$M$15:$M$23),"")</f>
        <v/>
      </c>
      <c r="BO22" s="64">
        <f>IFERROR((AP22/AP$6*Mapping!$N$15+AQ22/AQ$6*Mapping!$N$16+AR22/AR$6*Mapping!$N$17+AS22/AS$6*Mapping!$N$18+AT22/AT$6*Mapping!$N$19+AU22/AU$6*Mapping!$N$20+AV22/AV$6*Mapping!$N$21+AW22/AW$6*Mapping!$N$22+AX22/AX$6*Mapping!$N$23)/SUM(Mapping!$N$15:$N$23),"")</f>
        <v/>
      </c>
      <c r="BP22" s="64">
        <f>IFERROR((AP22/AP$6*Mapping!$O$15+AQ22/AQ$6*Mapping!$O$16+AR22/AR$6*Mapping!$O$17+AS22/AS$6*Mapping!$O$18+AT22/AT$6*Mapping!$O$19+AU22/AU$6*Mapping!$O$20+AV22/AV$6*Mapping!$O$21+AW22/AW$6*Mapping!$O$22+AX22/AX$6*Mapping!$O$23)/SUM(Mapping!$O$15:$O$23),"")</f>
        <v/>
      </c>
      <c r="BQ22" s="64">
        <f>IFERROR((AP22/AP$6*Mapping!$P$15+AQ22/AQ$6*Mapping!$P$16+AR22/AR$6*Mapping!$P$17+AS22/AS$6*Mapping!$P$18+AT22/AT$6*Mapping!$P$19+AU22/AU$6*Mapping!$P$20+AV22/AV$6*Mapping!$P$21+AW22/AW$6*Mapping!$P$22+AX22/AX$6*Mapping!$P$23)/SUM(Mapping!$P$15:$P$23),"")</f>
        <v/>
      </c>
      <c r="BR22" s="65">
        <f>IF(BA22="","",BA22+N(AS22)/10000)</f>
        <v/>
      </c>
    </row>
    <row r="23" ht="30" customHeight="1">
      <c r="A23" s="28" t="n">
        <v>17</v>
      </c>
      <c r="B23" s="29" t="inlineStr">
        <is>
          <t>5th Sem - B</t>
        </is>
      </c>
      <c r="C23" s="29" t="n"/>
      <c r="D23" s="6" t="n"/>
      <c r="E23" s="6" t="n"/>
      <c r="F23" s="29" t="n"/>
      <c r="G23" s="29" t="n"/>
      <c r="H23" s="6" t="n"/>
      <c r="I23" s="29" t="n"/>
      <c r="J23" s="29" t="n"/>
      <c r="K23" s="29" t="n"/>
      <c r="L23" s="29" t="n"/>
      <c r="M23" s="29" t="n"/>
      <c r="N23" s="29" t="n"/>
      <c r="O23" s="29" t="n"/>
      <c r="P23" s="29" t="n"/>
      <c r="Q23" s="29" t="n"/>
      <c r="R23" s="29" t="n"/>
      <c r="S23" s="29" t="n"/>
      <c r="T23" s="29" t="n"/>
      <c r="U23" s="29" t="n"/>
      <c r="V23" s="29" t="n"/>
      <c r="W23" s="29" t="n"/>
      <c r="X23" s="29" t="n"/>
      <c r="Y23" s="29" t="n"/>
      <c r="Z23" s="29" t="n"/>
      <c r="AA23" s="29" t="n"/>
      <c r="AB23" s="29" t="n"/>
      <c r="AC23" s="29" t="n"/>
      <c r="AD23" s="29" t="n"/>
      <c r="AE23" s="29" t="n"/>
      <c r="AF23" s="29" t="n"/>
      <c r="AG23" s="29" t="n"/>
      <c r="AH23" s="29" t="n"/>
      <c r="AI23" s="29" t="n"/>
      <c r="AJ23" s="29" t="n"/>
      <c r="AK23" s="29" t="n"/>
      <c r="AL23" s="29" t="n"/>
      <c r="AM23" s="29" t="n"/>
      <c r="AN23" s="29" t="n"/>
      <c r="AO23" s="29" t="n"/>
      <c r="AP23" s="59">
        <f>IF(COUNT(I23,T23,AE23)=0,"",AVERAGE(I23,T23,AE23))</f>
        <v/>
      </c>
      <c r="AQ23" s="59">
        <f>IF(COUNT(J23,U23,AF23)=0,"",AVERAGE(J23,U23,AF23))</f>
        <v/>
      </c>
      <c r="AR23" s="59">
        <f>IF(COUNT(K23,V23,AG23)=0,"",AVERAGE(K23,V23,AG23))</f>
        <v/>
      </c>
      <c r="AS23" s="59">
        <f>IF(COUNT(L23,W23,AH23)=0,"",AVERAGE(L23,W23,AH23))</f>
        <v/>
      </c>
      <c r="AT23" s="59">
        <f>IF(COUNT(M23,X23,AI23)=0,"",AVERAGE(M23,X23,AI23))</f>
        <v/>
      </c>
      <c r="AU23" s="59">
        <f>IF(COUNT(N23,Y23,AJ23)=0,"",AVERAGE(N23,Y23,AJ23))</f>
        <v/>
      </c>
      <c r="AV23" s="59">
        <f>IF(COUNT(O23,Z23,AK23)=0,"",AVERAGE(O23,Z23,AK23))</f>
        <v/>
      </c>
      <c r="AW23" s="59">
        <f>IF(COUNT(P23,AA23,AL23)=0,"",AVERAGE(P23,AA23,AL23))</f>
        <v/>
      </c>
      <c r="AX23" s="59">
        <f>IF(COUNT(Q23,AB23,AM23)=0,"",AVERAGE(Q23,AB23,AM23))</f>
        <v/>
      </c>
      <c r="AY23" s="60">
        <f>IF(OR($F23="",COUNT(R23,AC23,AN23)=0),"",AVERAGE(R23,AC23,AN23))</f>
        <v/>
      </c>
      <c r="AZ23" s="60">
        <f>IF(OR($G23="",$G23=$F23,COUNT(S23,AD23,AO23)=0),"",AVERAGE(S23,AD23,AO23))</f>
        <v/>
      </c>
      <c r="BA23" s="61">
        <f>IF(COUNT(AP23:AX23)=0,"",SUM(AP23:AX23))</f>
        <v/>
      </c>
      <c r="BB23" s="62">
        <f>IF(BA23="","",BA23/BA$6)</f>
        <v/>
      </c>
      <c r="BC23" s="14">
        <f>IF(BR23="","",COUNTIF($BR$7:$BR$26,"&gt;"&amp;BR23)+COUNTIF($BR$7:BR23,BR23))</f>
        <v/>
      </c>
      <c r="BD23" s="63">
        <f>IF(BC23="","",IF(BC23&lt;=Mapping!$C$11,"Shortlisted","Not shortlisted"))</f>
        <v/>
      </c>
      <c r="BE23" s="64">
        <f>IFERROR((AP23/AP$6*Mapping!$D$15+AQ23/AQ$6*Mapping!$D$16+AR23/AR$6*Mapping!$D$17+AS23/AS$6*Mapping!$D$18+AT23/AT$6*Mapping!$D$19+AU23/AU$6*Mapping!$D$20+AV23/AV$6*Mapping!$D$21+AW23/AW$6*Mapping!$D$22+AX23/AX$6*Mapping!$D$23)/SUM(Mapping!$D$15:$D$23),"")</f>
        <v/>
      </c>
      <c r="BF23" s="64">
        <f>IFERROR((AP23/AP$6*Mapping!$E$15+AQ23/AQ$6*Mapping!$E$16+AR23/AR$6*Mapping!$E$17+AS23/AS$6*Mapping!$E$18+AT23/AT$6*Mapping!$E$19+AU23/AU$6*Mapping!$E$20+AV23/AV$6*Mapping!$E$21+AW23/AW$6*Mapping!$E$22+AX23/AX$6*Mapping!$E$23)/SUM(Mapping!$E$15:$E$23),"")</f>
        <v/>
      </c>
      <c r="BG23" s="64">
        <f>IFERROR((AP23/AP$6*Mapping!$F$15+AQ23/AQ$6*Mapping!$F$16+AR23/AR$6*Mapping!$F$17+AS23/AS$6*Mapping!$F$18+AT23/AT$6*Mapping!$F$19+AU23/AU$6*Mapping!$F$20+AV23/AV$6*Mapping!$F$21+AW23/AW$6*Mapping!$F$22+AX23/AX$6*Mapping!$F$23)/SUM(Mapping!$F$15:$F$23),"")</f>
        <v/>
      </c>
      <c r="BH23" s="64">
        <f>IFERROR((AP23/AP$6*Mapping!$G$15+AQ23/AQ$6*Mapping!$G$16+AR23/AR$6*Mapping!$G$17+AS23/AS$6*Mapping!$G$18+AT23/AT$6*Mapping!$G$19+AU23/AU$6*Mapping!$G$20+AV23/AV$6*Mapping!$G$21+AW23/AW$6*Mapping!$G$22+AX23/AX$6*Mapping!$G$23)/SUM(Mapping!$G$15:$G$23),"")</f>
        <v/>
      </c>
      <c r="BI23" s="64">
        <f>IFERROR((AP23/AP$6*Mapping!$H$15+AQ23/AQ$6*Mapping!$H$16+AR23/AR$6*Mapping!$H$17+AS23/AS$6*Mapping!$H$18+AT23/AT$6*Mapping!$H$19+AU23/AU$6*Mapping!$H$20+AV23/AV$6*Mapping!$H$21+AW23/AW$6*Mapping!$H$22+AX23/AX$6*Mapping!$H$23)/SUM(Mapping!$H$15:$H$23),"")</f>
        <v/>
      </c>
      <c r="BJ23" s="64">
        <f>IFERROR((AP23/AP$6*Mapping!$I$15+AQ23/AQ$6*Mapping!$I$16+AR23/AR$6*Mapping!$I$17+AS23/AS$6*Mapping!$I$18+AT23/AT$6*Mapping!$I$19+AU23/AU$6*Mapping!$I$20+AV23/AV$6*Mapping!$I$21+AW23/AW$6*Mapping!$I$22+AX23/AX$6*Mapping!$I$23)/SUM(Mapping!$I$15:$I$23),"")</f>
        <v/>
      </c>
      <c r="BK23" s="64">
        <f>IFERROR((AP23/AP$6*Mapping!$J$15+AQ23/AQ$6*Mapping!$J$16+AR23/AR$6*Mapping!$J$17+AS23/AS$6*Mapping!$J$18+AT23/AT$6*Mapping!$J$19+AU23/AU$6*Mapping!$J$20+AV23/AV$6*Mapping!$J$21+AW23/AW$6*Mapping!$J$22+AX23/AX$6*Mapping!$J$23)/SUM(Mapping!$J$15:$J$23),"")</f>
        <v/>
      </c>
      <c r="BL23" s="64">
        <f>IFERROR((AP23/AP$6*Mapping!$K$15+AQ23/AQ$6*Mapping!$K$16+AR23/AR$6*Mapping!$K$17+AS23/AS$6*Mapping!$K$18+AT23/AT$6*Mapping!$K$19+AU23/AU$6*Mapping!$K$20+AV23/AV$6*Mapping!$K$21+AW23/AW$6*Mapping!$K$22+AX23/AX$6*Mapping!$K$23)/SUM(Mapping!$K$15:$K$23),"")</f>
        <v/>
      </c>
      <c r="BM23" s="64">
        <f>IFERROR((AP23/AP$6*Mapping!$L$15+AQ23/AQ$6*Mapping!$L$16+AR23/AR$6*Mapping!$L$17+AS23/AS$6*Mapping!$L$18+AT23/AT$6*Mapping!$L$19+AU23/AU$6*Mapping!$L$20+AV23/AV$6*Mapping!$L$21+AW23/AW$6*Mapping!$L$22+AX23/AX$6*Mapping!$L$23)/SUM(Mapping!$L$15:$L$23),"")</f>
        <v/>
      </c>
      <c r="BN23" s="64">
        <f>IFERROR((AP23/AP$6*Mapping!$M$15+AQ23/AQ$6*Mapping!$M$16+AR23/AR$6*Mapping!$M$17+AS23/AS$6*Mapping!$M$18+AT23/AT$6*Mapping!$M$19+AU23/AU$6*Mapping!$M$20+AV23/AV$6*Mapping!$M$21+AW23/AW$6*Mapping!$M$22+AX23/AX$6*Mapping!$M$23)/SUM(Mapping!$M$15:$M$23),"")</f>
        <v/>
      </c>
      <c r="BO23" s="64">
        <f>IFERROR((AP23/AP$6*Mapping!$N$15+AQ23/AQ$6*Mapping!$N$16+AR23/AR$6*Mapping!$N$17+AS23/AS$6*Mapping!$N$18+AT23/AT$6*Mapping!$N$19+AU23/AU$6*Mapping!$N$20+AV23/AV$6*Mapping!$N$21+AW23/AW$6*Mapping!$N$22+AX23/AX$6*Mapping!$N$23)/SUM(Mapping!$N$15:$N$23),"")</f>
        <v/>
      </c>
      <c r="BP23" s="64">
        <f>IFERROR((AP23/AP$6*Mapping!$O$15+AQ23/AQ$6*Mapping!$O$16+AR23/AR$6*Mapping!$O$17+AS23/AS$6*Mapping!$O$18+AT23/AT$6*Mapping!$O$19+AU23/AU$6*Mapping!$O$20+AV23/AV$6*Mapping!$O$21+AW23/AW$6*Mapping!$O$22+AX23/AX$6*Mapping!$O$23)/SUM(Mapping!$O$15:$O$23),"")</f>
        <v/>
      </c>
      <c r="BQ23" s="64">
        <f>IFERROR((AP23/AP$6*Mapping!$P$15+AQ23/AQ$6*Mapping!$P$16+AR23/AR$6*Mapping!$P$17+AS23/AS$6*Mapping!$P$18+AT23/AT$6*Mapping!$P$19+AU23/AU$6*Mapping!$P$20+AV23/AV$6*Mapping!$P$21+AW23/AW$6*Mapping!$P$22+AX23/AX$6*Mapping!$P$23)/SUM(Mapping!$P$15:$P$23),"")</f>
        <v/>
      </c>
      <c r="BR23" s="65">
        <f>IF(BA23="","",BA23+N(AS23)/10000)</f>
        <v/>
      </c>
    </row>
    <row r="24" ht="30" customHeight="1">
      <c r="A24" s="28" t="n">
        <v>18</v>
      </c>
      <c r="B24" s="29" t="inlineStr">
        <is>
          <t>5th Sem - B</t>
        </is>
      </c>
      <c r="C24" s="29" t="n"/>
      <c r="D24" s="6" t="n"/>
      <c r="E24" s="6" t="n"/>
      <c r="F24" s="29" t="n"/>
      <c r="G24" s="29" t="n"/>
      <c r="H24" s="6" t="n"/>
      <c r="I24" s="29" t="n"/>
      <c r="J24" s="29" t="n"/>
      <c r="K24" s="29" t="n"/>
      <c r="L24" s="29" t="n"/>
      <c r="M24" s="29" t="n"/>
      <c r="N24" s="29" t="n"/>
      <c r="O24" s="29" t="n"/>
      <c r="P24" s="29" t="n"/>
      <c r="Q24" s="29" t="n"/>
      <c r="R24" s="29" t="n"/>
      <c r="S24" s="29" t="n"/>
      <c r="T24" s="29" t="n"/>
      <c r="U24" s="29" t="n"/>
      <c r="V24" s="29" t="n"/>
      <c r="W24" s="29" t="n"/>
      <c r="X24" s="29" t="n"/>
      <c r="Y24" s="29" t="n"/>
      <c r="Z24" s="29" t="n"/>
      <c r="AA24" s="29" t="n"/>
      <c r="AB24" s="29" t="n"/>
      <c r="AC24" s="29" t="n"/>
      <c r="AD24" s="29" t="n"/>
      <c r="AE24" s="29" t="n"/>
      <c r="AF24" s="29" t="n"/>
      <c r="AG24" s="29" t="n"/>
      <c r="AH24" s="29" t="n"/>
      <c r="AI24" s="29" t="n"/>
      <c r="AJ24" s="29" t="n"/>
      <c r="AK24" s="29" t="n"/>
      <c r="AL24" s="29" t="n"/>
      <c r="AM24" s="29" t="n"/>
      <c r="AN24" s="29" t="n"/>
      <c r="AO24" s="29" t="n"/>
      <c r="AP24" s="59">
        <f>IF(COUNT(I24,T24,AE24)=0,"",AVERAGE(I24,T24,AE24))</f>
        <v/>
      </c>
      <c r="AQ24" s="59">
        <f>IF(COUNT(J24,U24,AF24)=0,"",AVERAGE(J24,U24,AF24))</f>
        <v/>
      </c>
      <c r="AR24" s="59">
        <f>IF(COUNT(K24,V24,AG24)=0,"",AVERAGE(K24,V24,AG24))</f>
        <v/>
      </c>
      <c r="AS24" s="59">
        <f>IF(COUNT(L24,W24,AH24)=0,"",AVERAGE(L24,W24,AH24))</f>
        <v/>
      </c>
      <c r="AT24" s="59">
        <f>IF(COUNT(M24,X24,AI24)=0,"",AVERAGE(M24,X24,AI24))</f>
        <v/>
      </c>
      <c r="AU24" s="59">
        <f>IF(COUNT(N24,Y24,AJ24)=0,"",AVERAGE(N24,Y24,AJ24))</f>
        <v/>
      </c>
      <c r="AV24" s="59">
        <f>IF(COUNT(O24,Z24,AK24)=0,"",AVERAGE(O24,Z24,AK24))</f>
        <v/>
      </c>
      <c r="AW24" s="59">
        <f>IF(COUNT(P24,AA24,AL24)=0,"",AVERAGE(P24,AA24,AL24))</f>
        <v/>
      </c>
      <c r="AX24" s="59">
        <f>IF(COUNT(Q24,AB24,AM24)=0,"",AVERAGE(Q24,AB24,AM24))</f>
        <v/>
      </c>
      <c r="AY24" s="60">
        <f>IF(OR($F24="",COUNT(R24,AC24,AN24)=0),"",AVERAGE(R24,AC24,AN24))</f>
        <v/>
      </c>
      <c r="AZ24" s="60">
        <f>IF(OR($G24="",$G24=$F24,COUNT(S24,AD24,AO24)=0),"",AVERAGE(S24,AD24,AO24))</f>
        <v/>
      </c>
      <c r="BA24" s="61">
        <f>IF(COUNT(AP24:AX24)=0,"",SUM(AP24:AX24))</f>
        <v/>
      </c>
      <c r="BB24" s="62">
        <f>IF(BA24="","",BA24/BA$6)</f>
        <v/>
      </c>
      <c r="BC24" s="14">
        <f>IF(BR24="","",COUNTIF($BR$7:$BR$26,"&gt;"&amp;BR24)+COUNTIF($BR$7:BR24,BR24))</f>
        <v/>
      </c>
      <c r="BD24" s="63">
        <f>IF(BC24="","",IF(BC24&lt;=Mapping!$C$11,"Shortlisted","Not shortlisted"))</f>
        <v/>
      </c>
      <c r="BE24" s="64">
        <f>IFERROR((AP24/AP$6*Mapping!$D$15+AQ24/AQ$6*Mapping!$D$16+AR24/AR$6*Mapping!$D$17+AS24/AS$6*Mapping!$D$18+AT24/AT$6*Mapping!$D$19+AU24/AU$6*Mapping!$D$20+AV24/AV$6*Mapping!$D$21+AW24/AW$6*Mapping!$D$22+AX24/AX$6*Mapping!$D$23)/SUM(Mapping!$D$15:$D$23),"")</f>
        <v/>
      </c>
      <c r="BF24" s="64">
        <f>IFERROR((AP24/AP$6*Mapping!$E$15+AQ24/AQ$6*Mapping!$E$16+AR24/AR$6*Mapping!$E$17+AS24/AS$6*Mapping!$E$18+AT24/AT$6*Mapping!$E$19+AU24/AU$6*Mapping!$E$20+AV24/AV$6*Mapping!$E$21+AW24/AW$6*Mapping!$E$22+AX24/AX$6*Mapping!$E$23)/SUM(Mapping!$E$15:$E$23),"")</f>
        <v/>
      </c>
      <c r="BG24" s="64">
        <f>IFERROR((AP24/AP$6*Mapping!$F$15+AQ24/AQ$6*Mapping!$F$16+AR24/AR$6*Mapping!$F$17+AS24/AS$6*Mapping!$F$18+AT24/AT$6*Mapping!$F$19+AU24/AU$6*Mapping!$F$20+AV24/AV$6*Mapping!$F$21+AW24/AW$6*Mapping!$F$22+AX24/AX$6*Mapping!$F$23)/SUM(Mapping!$F$15:$F$23),"")</f>
        <v/>
      </c>
      <c r="BH24" s="64">
        <f>IFERROR((AP24/AP$6*Mapping!$G$15+AQ24/AQ$6*Mapping!$G$16+AR24/AR$6*Mapping!$G$17+AS24/AS$6*Mapping!$G$18+AT24/AT$6*Mapping!$G$19+AU24/AU$6*Mapping!$G$20+AV24/AV$6*Mapping!$G$21+AW24/AW$6*Mapping!$G$22+AX24/AX$6*Mapping!$G$23)/SUM(Mapping!$G$15:$G$23),"")</f>
        <v/>
      </c>
      <c r="BI24" s="64">
        <f>IFERROR((AP24/AP$6*Mapping!$H$15+AQ24/AQ$6*Mapping!$H$16+AR24/AR$6*Mapping!$H$17+AS24/AS$6*Mapping!$H$18+AT24/AT$6*Mapping!$H$19+AU24/AU$6*Mapping!$H$20+AV24/AV$6*Mapping!$H$21+AW24/AW$6*Mapping!$H$22+AX24/AX$6*Mapping!$H$23)/SUM(Mapping!$H$15:$H$23),"")</f>
        <v/>
      </c>
      <c r="BJ24" s="64">
        <f>IFERROR((AP24/AP$6*Mapping!$I$15+AQ24/AQ$6*Mapping!$I$16+AR24/AR$6*Mapping!$I$17+AS24/AS$6*Mapping!$I$18+AT24/AT$6*Mapping!$I$19+AU24/AU$6*Mapping!$I$20+AV24/AV$6*Mapping!$I$21+AW24/AW$6*Mapping!$I$22+AX24/AX$6*Mapping!$I$23)/SUM(Mapping!$I$15:$I$23),"")</f>
        <v/>
      </c>
      <c r="BK24" s="64">
        <f>IFERROR((AP24/AP$6*Mapping!$J$15+AQ24/AQ$6*Mapping!$J$16+AR24/AR$6*Mapping!$J$17+AS24/AS$6*Mapping!$J$18+AT24/AT$6*Mapping!$J$19+AU24/AU$6*Mapping!$J$20+AV24/AV$6*Mapping!$J$21+AW24/AW$6*Mapping!$J$22+AX24/AX$6*Mapping!$J$23)/SUM(Mapping!$J$15:$J$23),"")</f>
        <v/>
      </c>
      <c r="BL24" s="64">
        <f>IFERROR((AP24/AP$6*Mapping!$K$15+AQ24/AQ$6*Mapping!$K$16+AR24/AR$6*Mapping!$K$17+AS24/AS$6*Mapping!$K$18+AT24/AT$6*Mapping!$K$19+AU24/AU$6*Mapping!$K$20+AV24/AV$6*Mapping!$K$21+AW24/AW$6*Mapping!$K$22+AX24/AX$6*Mapping!$K$23)/SUM(Mapping!$K$15:$K$23),"")</f>
        <v/>
      </c>
      <c r="BM24" s="64">
        <f>IFERROR((AP24/AP$6*Mapping!$L$15+AQ24/AQ$6*Mapping!$L$16+AR24/AR$6*Mapping!$L$17+AS24/AS$6*Mapping!$L$18+AT24/AT$6*Mapping!$L$19+AU24/AU$6*Mapping!$L$20+AV24/AV$6*Mapping!$L$21+AW24/AW$6*Mapping!$L$22+AX24/AX$6*Mapping!$L$23)/SUM(Mapping!$L$15:$L$23),"")</f>
        <v/>
      </c>
      <c r="BN24" s="64">
        <f>IFERROR((AP24/AP$6*Mapping!$M$15+AQ24/AQ$6*Mapping!$M$16+AR24/AR$6*Mapping!$M$17+AS24/AS$6*Mapping!$M$18+AT24/AT$6*Mapping!$M$19+AU24/AU$6*Mapping!$M$20+AV24/AV$6*Mapping!$M$21+AW24/AW$6*Mapping!$M$22+AX24/AX$6*Mapping!$M$23)/SUM(Mapping!$M$15:$M$23),"")</f>
        <v/>
      </c>
      <c r="BO24" s="64">
        <f>IFERROR((AP24/AP$6*Mapping!$N$15+AQ24/AQ$6*Mapping!$N$16+AR24/AR$6*Mapping!$N$17+AS24/AS$6*Mapping!$N$18+AT24/AT$6*Mapping!$N$19+AU24/AU$6*Mapping!$N$20+AV24/AV$6*Mapping!$N$21+AW24/AW$6*Mapping!$N$22+AX24/AX$6*Mapping!$N$23)/SUM(Mapping!$N$15:$N$23),"")</f>
        <v/>
      </c>
      <c r="BP24" s="64">
        <f>IFERROR((AP24/AP$6*Mapping!$O$15+AQ24/AQ$6*Mapping!$O$16+AR24/AR$6*Mapping!$O$17+AS24/AS$6*Mapping!$O$18+AT24/AT$6*Mapping!$O$19+AU24/AU$6*Mapping!$O$20+AV24/AV$6*Mapping!$O$21+AW24/AW$6*Mapping!$O$22+AX24/AX$6*Mapping!$O$23)/SUM(Mapping!$O$15:$O$23),"")</f>
        <v/>
      </c>
      <c r="BQ24" s="64">
        <f>IFERROR((AP24/AP$6*Mapping!$P$15+AQ24/AQ$6*Mapping!$P$16+AR24/AR$6*Mapping!$P$17+AS24/AS$6*Mapping!$P$18+AT24/AT$6*Mapping!$P$19+AU24/AU$6*Mapping!$P$20+AV24/AV$6*Mapping!$P$21+AW24/AW$6*Mapping!$P$22+AX24/AX$6*Mapping!$P$23)/SUM(Mapping!$P$15:$P$23),"")</f>
        <v/>
      </c>
      <c r="BR24" s="65">
        <f>IF(BA24="","",BA24+N(AS24)/10000)</f>
        <v/>
      </c>
    </row>
    <row r="25" ht="30" customHeight="1">
      <c r="A25" s="28" t="n">
        <v>19</v>
      </c>
      <c r="B25" s="29" t="inlineStr">
        <is>
          <t>5th Sem - B</t>
        </is>
      </c>
      <c r="C25" s="29" t="n"/>
      <c r="D25" s="6" t="n"/>
      <c r="E25" s="6" t="n"/>
      <c r="F25" s="29" t="n"/>
      <c r="G25" s="29" t="n"/>
      <c r="H25" s="6" t="n"/>
      <c r="I25" s="29" t="n"/>
      <c r="J25" s="29" t="n"/>
      <c r="K25" s="29" t="n"/>
      <c r="L25" s="29" t="n"/>
      <c r="M25" s="29" t="n"/>
      <c r="N25" s="29" t="n"/>
      <c r="O25" s="29" t="n"/>
      <c r="P25" s="29" t="n"/>
      <c r="Q25" s="29" t="n"/>
      <c r="R25" s="29" t="n"/>
      <c r="S25" s="29" t="n"/>
      <c r="T25" s="29" t="n"/>
      <c r="U25" s="29" t="n"/>
      <c r="V25" s="29" t="n"/>
      <c r="W25" s="29" t="n"/>
      <c r="X25" s="29" t="n"/>
      <c r="Y25" s="29" t="n"/>
      <c r="Z25" s="29" t="n"/>
      <c r="AA25" s="29" t="n"/>
      <c r="AB25" s="29" t="n"/>
      <c r="AC25" s="29" t="n"/>
      <c r="AD25" s="29" t="n"/>
      <c r="AE25" s="29" t="n"/>
      <c r="AF25" s="29" t="n"/>
      <c r="AG25" s="29" t="n"/>
      <c r="AH25" s="29" t="n"/>
      <c r="AI25" s="29" t="n"/>
      <c r="AJ25" s="29" t="n"/>
      <c r="AK25" s="29" t="n"/>
      <c r="AL25" s="29" t="n"/>
      <c r="AM25" s="29" t="n"/>
      <c r="AN25" s="29" t="n"/>
      <c r="AO25" s="29" t="n"/>
      <c r="AP25" s="59">
        <f>IF(COUNT(I25,T25,AE25)=0,"",AVERAGE(I25,T25,AE25))</f>
        <v/>
      </c>
      <c r="AQ25" s="59">
        <f>IF(COUNT(J25,U25,AF25)=0,"",AVERAGE(J25,U25,AF25))</f>
        <v/>
      </c>
      <c r="AR25" s="59">
        <f>IF(COUNT(K25,V25,AG25)=0,"",AVERAGE(K25,V25,AG25))</f>
        <v/>
      </c>
      <c r="AS25" s="59">
        <f>IF(COUNT(L25,W25,AH25)=0,"",AVERAGE(L25,W25,AH25))</f>
        <v/>
      </c>
      <c r="AT25" s="59">
        <f>IF(COUNT(M25,X25,AI25)=0,"",AVERAGE(M25,X25,AI25))</f>
        <v/>
      </c>
      <c r="AU25" s="59">
        <f>IF(COUNT(N25,Y25,AJ25)=0,"",AVERAGE(N25,Y25,AJ25))</f>
        <v/>
      </c>
      <c r="AV25" s="59">
        <f>IF(COUNT(O25,Z25,AK25)=0,"",AVERAGE(O25,Z25,AK25))</f>
        <v/>
      </c>
      <c r="AW25" s="59">
        <f>IF(COUNT(P25,AA25,AL25)=0,"",AVERAGE(P25,AA25,AL25))</f>
        <v/>
      </c>
      <c r="AX25" s="59">
        <f>IF(COUNT(Q25,AB25,AM25)=0,"",AVERAGE(Q25,AB25,AM25))</f>
        <v/>
      </c>
      <c r="AY25" s="60">
        <f>IF(OR($F25="",COUNT(R25,AC25,AN25)=0),"",AVERAGE(R25,AC25,AN25))</f>
        <v/>
      </c>
      <c r="AZ25" s="60">
        <f>IF(OR($G25="",$G25=$F25,COUNT(S25,AD25,AO25)=0),"",AVERAGE(S25,AD25,AO25))</f>
        <v/>
      </c>
      <c r="BA25" s="61">
        <f>IF(COUNT(AP25:AX25)=0,"",SUM(AP25:AX25))</f>
        <v/>
      </c>
      <c r="BB25" s="62">
        <f>IF(BA25="","",BA25/BA$6)</f>
        <v/>
      </c>
      <c r="BC25" s="14">
        <f>IF(BR25="","",COUNTIF($BR$7:$BR$26,"&gt;"&amp;BR25)+COUNTIF($BR$7:BR25,BR25))</f>
        <v/>
      </c>
      <c r="BD25" s="63">
        <f>IF(BC25="","",IF(BC25&lt;=Mapping!$C$11,"Shortlisted","Not shortlisted"))</f>
        <v/>
      </c>
      <c r="BE25" s="64">
        <f>IFERROR((AP25/AP$6*Mapping!$D$15+AQ25/AQ$6*Mapping!$D$16+AR25/AR$6*Mapping!$D$17+AS25/AS$6*Mapping!$D$18+AT25/AT$6*Mapping!$D$19+AU25/AU$6*Mapping!$D$20+AV25/AV$6*Mapping!$D$21+AW25/AW$6*Mapping!$D$22+AX25/AX$6*Mapping!$D$23)/SUM(Mapping!$D$15:$D$23),"")</f>
        <v/>
      </c>
      <c r="BF25" s="64">
        <f>IFERROR((AP25/AP$6*Mapping!$E$15+AQ25/AQ$6*Mapping!$E$16+AR25/AR$6*Mapping!$E$17+AS25/AS$6*Mapping!$E$18+AT25/AT$6*Mapping!$E$19+AU25/AU$6*Mapping!$E$20+AV25/AV$6*Mapping!$E$21+AW25/AW$6*Mapping!$E$22+AX25/AX$6*Mapping!$E$23)/SUM(Mapping!$E$15:$E$23),"")</f>
        <v/>
      </c>
      <c r="BG25" s="64">
        <f>IFERROR((AP25/AP$6*Mapping!$F$15+AQ25/AQ$6*Mapping!$F$16+AR25/AR$6*Mapping!$F$17+AS25/AS$6*Mapping!$F$18+AT25/AT$6*Mapping!$F$19+AU25/AU$6*Mapping!$F$20+AV25/AV$6*Mapping!$F$21+AW25/AW$6*Mapping!$F$22+AX25/AX$6*Mapping!$F$23)/SUM(Mapping!$F$15:$F$23),"")</f>
        <v/>
      </c>
      <c r="BH25" s="64">
        <f>IFERROR((AP25/AP$6*Mapping!$G$15+AQ25/AQ$6*Mapping!$G$16+AR25/AR$6*Mapping!$G$17+AS25/AS$6*Mapping!$G$18+AT25/AT$6*Mapping!$G$19+AU25/AU$6*Mapping!$G$20+AV25/AV$6*Mapping!$G$21+AW25/AW$6*Mapping!$G$22+AX25/AX$6*Mapping!$G$23)/SUM(Mapping!$G$15:$G$23),"")</f>
        <v/>
      </c>
      <c r="BI25" s="64">
        <f>IFERROR((AP25/AP$6*Mapping!$H$15+AQ25/AQ$6*Mapping!$H$16+AR25/AR$6*Mapping!$H$17+AS25/AS$6*Mapping!$H$18+AT25/AT$6*Mapping!$H$19+AU25/AU$6*Mapping!$H$20+AV25/AV$6*Mapping!$H$21+AW25/AW$6*Mapping!$H$22+AX25/AX$6*Mapping!$H$23)/SUM(Mapping!$H$15:$H$23),"")</f>
        <v/>
      </c>
      <c r="BJ25" s="64">
        <f>IFERROR((AP25/AP$6*Mapping!$I$15+AQ25/AQ$6*Mapping!$I$16+AR25/AR$6*Mapping!$I$17+AS25/AS$6*Mapping!$I$18+AT25/AT$6*Mapping!$I$19+AU25/AU$6*Mapping!$I$20+AV25/AV$6*Mapping!$I$21+AW25/AW$6*Mapping!$I$22+AX25/AX$6*Mapping!$I$23)/SUM(Mapping!$I$15:$I$23),"")</f>
        <v/>
      </c>
      <c r="BK25" s="64">
        <f>IFERROR((AP25/AP$6*Mapping!$J$15+AQ25/AQ$6*Mapping!$J$16+AR25/AR$6*Mapping!$J$17+AS25/AS$6*Mapping!$J$18+AT25/AT$6*Mapping!$J$19+AU25/AU$6*Mapping!$J$20+AV25/AV$6*Mapping!$J$21+AW25/AW$6*Mapping!$J$22+AX25/AX$6*Mapping!$J$23)/SUM(Mapping!$J$15:$J$23),"")</f>
        <v/>
      </c>
      <c r="BL25" s="64">
        <f>IFERROR((AP25/AP$6*Mapping!$K$15+AQ25/AQ$6*Mapping!$K$16+AR25/AR$6*Mapping!$K$17+AS25/AS$6*Mapping!$K$18+AT25/AT$6*Mapping!$K$19+AU25/AU$6*Mapping!$K$20+AV25/AV$6*Mapping!$K$21+AW25/AW$6*Mapping!$K$22+AX25/AX$6*Mapping!$K$23)/SUM(Mapping!$K$15:$K$23),"")</f>
        <v/>
      </c>
      <c r="BM25" s="64">
        <f>IFERROR((AP25/AP$6*Mapping!$L$15+AQ25/AQ$6*Mapping!$L$16+AR25/AR$6*Mapping!$L$17+AS25/AS$6*Mapping!$L$18+AT25/AT$6*Mapping!$L$19+AU25/AU$6*Mapping!$L$20+AV25/AV$6*Mapping!$L$21+AW25/AW$6*Mapping!$L$22+AX25/AX$6*Mapping!$L$23)/SUM(Mapping!$L$15:$L$23),"")</f>
        <v/>
      </c>
      <c r="BN25" s="64">
        <f>IFERROR((AP25/AP$6*Mapping!$M$15+AQ25/AQ$6*Mapping!$M$16+AR25/AR$6*Mapping!$M$17+AS25/AS$6*Mapping!$M$18+AT25/AT$6*Mapping!$M$19+AU25/AU$6*Mapping!$M$20+AV25/AV$6*Mapping!$M$21+AW25/AW$6*Mapping!$M$22+AX25/AX$6*Mapping!$M$23)/SUM(Mapping!$M$15:$M$23),"")</f>
        <v/>
      </c>
      <c r="BO25" s="64">
        <f>IFERROR((AP25/AP$6*Mapping!$N$15+AQ25/AQ$6*Mapping!$N$16+AR25/AR$6*Mapping!$N$17+AS25/AS$6*Mapping!$N$18+AT25/AT$6*Mapping!$N$19+AU25/AU$6*Mapping!$N$20+AV25/AV$6*Mapping!$N$21+AW25/AW$6*Mapping!$N$22+AX25/AX$6*Mapping!$N$23)/SUM(Mapping!$N$15:$N$23),"")</f>
        <v/>
      </c>
      <c r="BP25" s="64">
        <f>IFERROR((AP25/AP$6*Mapping!$O$15+AQ25/AQ$6*Mapping!$O$16+AR25/AR$6*Mapping!$O$17+AS25/AS$6*Mapping!$O$18+AT25/AT$6*Mapping!$O$19+AU25/AU$6*Mapping!$O$20+AV25/AV$6*Mapping!$O$21+AW25/AW$6*Mapping!$O$22+AX25/AX$6*Mapping!$O$23)/SUM(Mapping!$O$15:$O$23),"")</f>
        <v/>
      </c>
      <c r="BQ25" s="64">
        <f>IFERROR((AP25/AP$6*Mapping!$P$15+AQ25/AQ$6*Mapping!$P$16+AR25/AR$6*Mapping!$P$17+AS25/AS$6*Mapping!$P$18+AT25/AT$6*Mapping!$P$19+AU25/AU$6*Mapping!$P$20+AV25/AV$6*Mapping!$P$21+AW25/AW$6*Mapping!$P$22+AX25/AX$6*Mapping!$P$23)/SUM(Mapping!$P$15:$P$23),"")</f>
        <v/>
      </c>
      <c r="BR25" s="65">
        <f>IF(BA25="","",BA25+N(AS25)/10000)</f>
        <v/>
      </c>
    </row>
    <row r="26" ht="30" customHeight="1">
      <c r="A26" s="28" t="n">
        <v>20</v>
      </c>
      <c r="B26" s="29" t="inlineStr">
        <is>
          <t>5th Sem - B</t>
        </is>
      </c>
      <c r="C26" s="29" t="n"/>
      <c r="D26" s="6" t="n"/>
      <c r="E26" s="6" t="n"/>
      <c r="F26" s="29" t="n"/>
      <c r="G26" s="29" t="n"/>
      <c r="H26" s="6" t="n"/>
      <c r="I26" s="29" t="n"/>
      <c r="J26" s="29" t="n"/>
      <c r="K26" s="29" t="n"/>
      <c r="L26" s="29" t="n"/>
      <c r="M26" s="29" t="n"/>
      <c r="N26" s="29" t="n"/>
      <c r="O26" s="29" t="n"/>
      <c r="P26" s="29" t="n"/>
      <c r="Q26" s="29" t="n"/>
      <c r="R26" s="29" t="n"/>
      <c r="S26" s="29" t="n"/>
      <c r="T26" s="29" t="n"/>
      <c r="U26" s="29" t="n"/>
      <c r="V26" s="29" t="n"/>
      <c r="W26" s="29" t="n"/>
      <c r="X26" s="29" t="n"/>
      <c r="Y26" s="29" t="n"/>
      <c r="Z26" s="29" t="n"/>
      <c r="AA26" s="29" t="n"/>
      <c r="AB26" s="29" t="n"/>
      <c r="AC26" s="29" t="n"/>
      <c r="AD26" s="29" t="n"/>
      <c r="AE26" s="29" t="n"/>
      <c r="AF26" s="29" t="n"/>
      <c r="AG26" s="29" t="n"/>
      <c r="AH26" s="29" t="n"/>
      <c r="AI26" s="29" t="n"/>
      <c r="AJ26" s="29" t="n"/>
      <c r="AK26" s="29" t="n"/>
      <c r="AL26" s="29" t="n"/>
      <c r="AM26" s="29" t="n"/>
      <c r="AN26" s="29" t="n"/>
      <c r="AO26" s="29" t="n"/>
      <c r="AP26" s="59">
        <f>IF(COUNT(I26,T26,AE26)=0,"",AVERAGE(I26,T26,AE26))</f>
        <v/>
      </c>
      <c r="AQ26" s="59">
        <f>IF(COUNT(J26,U26,AF26)=0,"",AVERAGE(J26,U26,AF26))</f>
        <v/>
      </c>
      <c r="AR26" s="59">
        <f>IF(COUNT(K26,V26,AG26)=0,"",AVERAGE(K26,V26,AG26))</f>
        <v/>
      </c>
      <c r="AS26" s="59">
        <f>IF(COUNT(L26,W26,AH26)=0,"",AVERAGE(L26,W26,AH26))</f>
        <v/>
      </c>
      <c r="AT26" s="59">
        <f>IF(COUNT(M26,X26,AI26)=0,"",AVERAGE(M26,X26,AI26))</f>
        <v/>
      </c>
      <c r="AU26" s="59">
        <f>IF(COUNT(N26,Y26,AJ26)=0,"",AVERAGE(N26,Y26,AJ26))</f>
        <v/>
      </c>
      <c r="AV26" s="59">
        <f>IF(COUNT(O26,Z26,AK26)=0,"",AVERAGE(O26,Z26,AK26))</f>
        <v/>
      </c>
      <c r="AW26" s="59">
        <f>IF(COUNT(P26,AA26,AL26)=0,"",AVERAGE(P26,AA26,AL26))</f>
        <v/>
      </c>
      <c r="AX26" s="59">
        <f>IF(COUNT(Q26,AB26,AM26)=0,"",AVERAGE(Q26,AB26,AM26))</f>
        <v/>
      </c>
      <c r="AY26" s="60">
        <f>IF(OR($F26="",COUNT(R26,AC26,AN26)=0),"",AVERAGE(R26,AC26,AN26))</f>
        <v/>
      </c>
      <c r="AZ26" s="60">
        <f>IF(OR($G26="",$G26=$F26,COUNT(S26,AD26,AO26)=0),"",AVERAGE(S26,AD26,AO26))</f>
        <v/>
      </c>
      <c r="BA26" s="61">
        <f>IF(COUNT(AP26:AX26)=0,"",SUM(AP26:AX26))</f>
        <v/>
      </c>
      <c r="BB26" s="62">
        <f>IF(BA26="","",BA26/BA$6)</f>
        <v/>
      </c>
      <c r="BC26" s="14">
        <f>IF(BR26="","",COUNTIF($BR$7:$BR$26,"&gt;"&amp;BR26)+COUNTIF($BR$7:BR26,BR26))</f>
        <v/>
      </c>
      <c r="BD26" s="63">
        <f>IF(BC26="","",IF(BC26&lt;=Mapping!$C$11,"Shortlisted","Not shortlisted"))</f>
        <v/>
      </c>
      <c r="BE26" s="64">
        <f>IFERROR((AP26/AP$6*Mapping!$D$15+AQ26/AQ$6*Mapping!$D$16+AR26/AR$6*Mapping!$D$17+AS26/AS$6*Mapping!$D$18+AT26/AT$6*Mapping!$D$19+AU26/AU$6*Mapping!$D$20+AV26/AV$6*Mapping!$D$21+AW26/AW$6*Mapping!$D$22+AX26/AX$6*Mapping!$D$23)/SUM(Mapping!$D$15:$D$23),"")</f>
        <v/>
      </c>
      <c r="BF26" s="64">
        <f>IFERROR((AP26/AP$6*Mapping!$E$15+AQ26/AQ$6*Mapping!$E$16+AR26/AR$6*Mapping!$E$17+AS26/AS$6*Mapping!$E$18+AT26/AT$6*Mapping!$E$19+AU26/AU$6*Mapping!$E$20+AV26/AV$6*Mapping!$E$21+AW26/AW$6*Mapping!$E$22+AX26/AX$6*Mapping!$E$23)/SUM(Mapping!$E$15:$E$23),"")</f>
        <v/>
      </c>
      <c r="BG26" s="64">
        <f>IFERROR((AP26/AP$6*Mapping!$F$15+AQ26/AQ$6*Mapping!$F$16+AR26/AR$6*Mapping!$F$17+AS26/AS$6*Mapping!$F$18+AT26/AT$6*Mapping!$F$19+AU26/AU$6*Mapping!$F$20+AV26/AV$6*Mapping!$F$21+AW26/AW$6*Mapping!$F$22+AX26/AX$6*Mapping!$F$23)/SUM(Mapping!$F$15:$F$23),"")</f>
        <v/>
      </c>
      <c r="BH26" s="64">
        <f>IFERROR((AP26/AP$6*Mapping!$G$15+AQ26/AQ$6*Mapping!$G$16+AR26/AR$6*Mapping!$G$17+AS26/AS$6*Mapping!$G$18+AT26/AT$6*Mapping!$G$19+AU26/AU$6*Mapping!$G$20+AV26/AV$6*Mapping!$G$21+AW26/AW$6*Mapping!$G$22+AX26/AX$6*Mapping!$G$23)/SUM(Mapping!$G$15:$G$23),"")</f>
        <v/>
      </c>
      <c r="BI26" s="64">
        <f>IFERROR((AP26/AP$6*Mapping!$H$15+AQ26/AQ$6*Mapping!$H$16+AR26/AR$6*Mapping!$H$17+AS26/AS$6*Mapping!$H$18+AT26/AT$6*Mapping!$H$19+AU26/AU$6*Mapping!$H$20+AV26/AV$6*Mapping!$H$21+AW26/AW$6*Mapping!$H$22+AX26/AX$6*Mapping!$H$23)/SUM(Mapping!$H$15:$H$23),"")</f>
        <v/>
      </c>
      <c r="BJ26" s="64">
        <f>IFERROR((AP26/AP$6*Mapping!$I$15+AQ26/AQ$6*Mapping!$I$16+AR26/AR$6*Mapping!$I$17+AS26/AS$6*Mapping!$I$18+AT26/AT$6*Mapping!$I$19+AU26/AU$6*Mapping!$I$20+AV26/AV$6*Mapping!$I$21+AW26/AW$6*Mapping!$I$22+AX26/AX$6*Mapping!$I$23)/SUM(Mapping!$I$15:$I$23),"")</f>
        <v/>
      </c>
      <c r="BK26" s="64">
        <f>IFERROR((AP26/AP$6*Mapping!$J$15+AQ26/AQ$6*Mapping!$J$16+AR26/AR$6*Mapping!$J$17+AS26/AS$6*Mapping!$J$18+AT26/AT$6*Mapping!$J$19+AU26/AU$6*Mapping!$J$20+AV26/AV$6*Mapping!$J$21+AW26/AW$6*Mapping!$J$22+AX26/AX$6*Mapping!$J$23)/SUM(Mapping!$J$15:$J$23),"")</f>
        <v/>
      </c>
      <c r="BL26" s="64">
        <f>IFERROR((AP26/AP$6*Mapping!$K$15+AQ26/AQ$6*Mapping!$K$16+AR26/AR$6*Mapping!$K$17+AS26/AS$6*Mapping!$K$18+AT26/AT$6*Mapping!$K$19+AU26/AU$6*Mapping!$K$20+AV26/AV$6*Mapping!$K$21+AW26/AW$6*Mapping!$K$22+AX26/AX$6*Mapping!$K$23)/SUM(Mapping!$K$15:$K$23),"")</f>
        <v/>
      </c>
      <c r="BM26" s="64">
        <f>IFERROR((AP26/AP$6*Mapping!$L$15+AQ26/AQ$6*Mapping!$L$16+AR26/AR$6*Mapping!$L$17+AS26/AS$6*Mapping!$L$18+AT26/AT$6*Mapping!$L$19+AU26/AU$6*Mapping!$L$20+AV26/AV$6*Mapping!$L$21+AW26/AW$6*Mapping!$L$22+AX26/AX$6*Mapping!$L$23)/SUM(Mapping!$L$15:$L$23),"")</f>
        <v/>
      </c>
      <c r="BN26" s="64">
        <f>IFERROR((AP26/AP$6*Mapping!$M$15+AQ26/AQ$6*Mapping!$M$16+AR26/AR$6*Mapping!$M$17+AS26/AS$6*Mapping!$M$18+AT26/AT$6*Mapping!$M$19+AU26/AU$6*Mapping!$M$20+AV26/AV$6*Mapping!$M$21+AW26/AW$6*Mapping!$M$22+AX26/AX$6*Mapping!$M$23)/SUM(Mapping!$M$15:$M$23),"")</f>
        <v/>
      </c>
      <c r="BO26" s="64">
        <f>IFERROR((AP26/AP$6*Mapping!$N$15+AQ26/AQ$6*Mapping!$N$16+AR26/AR$6*Mapping!$N$17+AS26/AS$6*Mapping!$N$18+AT26/AT$6*Mapping!$N$19+AU26/AU$6*Mapping!$N$20+AV26/AV$6*Mapping!$N$21+AW26/AW$6*Mapping!$N$22+AX26/AX$6*Mapping!$N$23)/SUM(Mapping!$N$15:$N$23),"")</f>
        <v/>
      </c>
      <c r="BP26" s="64">
        <f>IFERROR((AP26/AP$6*Mapping!$O$15+AQ26/AQ$6*Mapping!$O$16+AR26/AR$6*Mapping!$O$17+AS26/AS$6*Mapping!$O$18+AT26/AT$6*Mapping!$O$19+AU26/AU$6*Mapping!$O$20+AV26/AV$6*Mapping!$O$21+AW26/AW$6*Mapping!$O$22+AX26/AX$6*Mapping!$O$23)/SUM(Mapping!$O$15:$O$23),"")</f>
        <v/>
      </c>
      <c r="BQ26" s="64">
        <f>IFERROR((AP26/AP$6*Mapping!$P$15+AQ26/AQ$6*Mapping!$P$16+AR26/AR$6*Mapping!$P$17+AS26/AS$6*Mapping!$P$18+AT26/AT$6*Mapping!$P$19+AU26/AU$6*Mapping!$P$20+AV26/AV$6*Mapping!$P$21+AW26/AW$6*Mapping!$P$22+AX26/AX$6*Mapping!$P$23)/SUM(Mapping!$P$15:$P$23),"")</f>
        <v/>
      </c>
      <c r="BR26" s="65">
        <f>IF(BA26="","",BA26+N(AS26)/10000)</f>
        <v/>
      </c>
    </row>
    <row r="28">
      <c r="D28" s="13" t="inlineStr">
        <is>
          <t>Average score (marks)</t>
        </is>
      </c>
      <c r="AP28" s="59">
        <f>IFERROR(AVERAGE(AP$7:AP$26),"")</f>
        <v/>
      </c>
      <c r="AQ28" s="59">
        <f>IFERROR(AVERAGE(AQ$7:AQ$26),"")</f>
        <v/>
      </c>
      <c r="AR28" s="59">
        <f>IFERROR(AVERAGE(AR$7:AR$26),"")</f>
        <v/>
      </c>
      <c r="AS28" s="59">
        <f>IFERROR(AVERAGE(AS$7:AS$26),"")</f>
        <v/>
      </c>
      <c r="AT28" s="59">
        <f>IFERROR(AVERAGE(AT$7:AT$26),"")</f>
        <v/>
      </c>
      <c r="AU28" s="59">
        <f>IFERROR(AVERAGE(AU$7:AU$26),"")</f>
        <v/>
      </c>
      <c r="AV28" s="59">
        <f>IFERROR(AVERAGE(AV$7:AV$26),"")</f>
        <v/>
      </c>
      <c r="AW28" s="59">
        <f>IFERROR(AVERAGE(AW$7:AW$26),"")</f>
        <v/>
      </c>
      <c r="AX28" s="59">
        <f>IFERROR(AVERAGE(AX$7:AX$26),"")</f>
        <v/>
      </c>
      <c r="AY28" s="60">
        <f>IFERROR(AVERAGE(AY$7:AY$26),"")</f>
        <v/>
      </c>
      <c r="AZ28" s="60">
        <f>IFERROR(AVERAGE(AZ$7:AZ$26),"")</f>
        <v/>
      </c>
      <c r="BA28" s="61">
        <f>IFERROR(AVERAGE(BA$7:BA$26),"")</f>
        <v/>
      </c>
    </row>
    <row r="29">
      <c r="D29" s="13" t="inlineStr">
        <is>
          <t>Average score (% of max)</t>
        </is>
      </c>
      <c r="AP29" s="66">
        <f>IFERROR(AP28/AP$6,"")</f>
        <v/>
      </c>
      <c r="AQ29" s="66">
        <f>IFERROR(AQ28/AQ$6,"")</f>
        <v/>
      </c>
      <c r="AR29" s="66">
        <f>IFERROR(AR28/AR$6,"")</f>
        <v/>
      </c>
      <c r="AS29" s="66">
        <f>IFERROR(AS28/AS$6,"")</f>
        <v/>
      </c>
      <c r="AT29" s="66">
        <f>IFERROR(AT28/AT$6,"")</f>
        <v/>
      </c>
      <c r="AU29" s="66">
        <f>IFERROR(AU28/AU$6,"")</f>
        <v/>
      </c>
      <c r="AV29" s="66">
        <f>IFERROR(AV28/AV$6,"")</f>
        <v/>
      </c>
      <c r="AW29" s="66">
        <f>IFERROR(AW28/AW$6,"")</f>
        <v/>
      </c>
      <c r="AX29" s="66">
        <f>IFERROR(AX28/AX$6,"")</f>
        <v/>
      </c>
      <c r="BA29" s="15">
        <f>IFERROR(BA28/BA$6,"")</f>
        <v/>
      </c>
    </row>
    <row r="30">
      <c r="D30" s="13" t="inlineStr">
        <is>
          <t>Average attainment (%)</t>
        </is>
      </c>
      <c r="BE30" s="67">
        <f>IFERROR(AVERAGE(BE$7:BE$26),"")</f>
        <v/>
      </c>
      <c r="BF30" s="67">
        <f>IFERROR(AVERAGE(BF$7:BF$26),"")</f>
        <v/>
      </c>
      <c r="BG30" s="67">
        <f>IFERROR(AVERAGE(BG$7:BG$26),"")</f>
        <v/>
      </c>
      <c r="BH30" s="67">
        <f>IFERROR(AVERAGE(BH$7:BH$26),"")</f>
        <v/>
      </c>
      <c r="BI30" s="67">
        <f>IFERROR(AVERAGE(BI$7:BI$26),"")</f>
        <v/>
      </c>
      <c r="BJ30" s="67">
        <f>IFERROR(AVERAGE(BJ$7:BJ$26),"")</f>
        <v/>
      </c>
      <c r="BK30" s="67">
        <f>IFERROR(AVERAGE(BK$7:BK$26),"")</f>
        <v/>
      </c>
      <c r="BL30" s="67">
        <f>IFERROR(AVERAGE(BL$7:BL$26),"")</f>
        <v/>
      </c>
      <c r="BM30" s="67">
        <f>IFERROR(AVERAGE(BM$7:BM$26),"")</f>
        <v/>
      </c>
      <c r="BN30" s="67">
        <f>IFERROR(AVERAGE(BN$7:BN$26),"")</f>
        <v/>
      </c>
      <c r="BO30" s="67">
        <f>IFERROR(AVERAGE(BO$7:BO$26),"")</f>
        <v/>
      </c>
      <c r="BP30" s="67">
        <f>IFERROR(AVERAGE(BP$7:BP$26),"")</f>
        <v/>
      </c>
      <c r="BQ30" s="67">
        <f>IFERROR(AVERAGE(BQ$7:BQ$26),"")</f>
        <v/>
      </c>
    </row>
    <row r="31">
      <c r="D31" s="13" t="inlineStr">
        <is>
          <t>% of teams at/above target</t>
        </is>
      </c>
      <c r="BE31" s="67">
        <f>IFERROR(COUNTIF(BE$7:BE$26,"&gt;="&amp;Mapping!$C$7)/COUNT(BE$7:BE$26),"")</f>
        <v/>
      </c>
      <c r="BF31" s="67">
        <f>IFERROR(COUNTIF(BF$7:BF$26,"&gt;="&amp;Mapping!$C$7)/COUNT(BF$7:BF$26),"")</f>
        <v/>
      </c>
      <c r="BG31" s="67">
        <f>IFERROR(COUNTIF(BG$7:BG$26,"&gt;="&amp;Mapping!$C$7)/COUNT(BG$7:BG$26),"")</f>
        <v/>
      </c>
      <c r="BH31" s="67">
        <f>IFERROR(COUNTIF(BH$7:BH$26,"&gt;="&amp;Mapping!$C$7)/COUNT(BH$7:BH$26),"")</f>
        <v/>
      </c>
      <c r="BI31" s="67">
        <f>IFERROR(COUNTIF(BI$7:BI$26,"&gt;="&amp;Mapping!$C$7)/COUNT(BI$7:BI$26),"")</f>
        <v/>
      </c>
      <c r="BJ31" s="67">
        <f>IFERROR(COUNTIF(BJ$7:BJ$26,"&gt;="&amp;Mapping!$C$7)/COUNT(BJ$7:BJ$26),"")</f>
        <v/>
      </c>
      <c r="BK31" s="67">
        <f>IFERROR(COUNTIF(BK$7:BK$26,"&gt;="&amp;Mapping!$C$7)/COUNT(BK$7:BK$26),"")</f>
        <v/>
      </c>
      <c r="BL31" s="67">
        <f>IFERROR(COUNTIF(BL$7:BL$26,"&gt;="&amp;Mapping!$C$7)/COUNT(BL$7:BL$26),"")</f>
        <v/>
      </c>
      <c r="BM31" s="67">
        <f>IFERROR(COUNTIF(BM$7:BM$26,"&gt;="&amp;Mapping!$C$7)/COUNT(BM$7:BM$26),"")</f>
        <v/>
      </c>
      <c r="BN31" s="67">
        <f>IFERROR(COUNTIF(BN$7:BN$26,"&gt;="&amp;Mapping!$C$7)/COUNT(BN$7:BN$26),"")</f>
        <v/>
      </c>
      <c r="BO31" s="67">
        <f>IFERROR(COUNTIF(BO$7:BO$26,"&gt;="&amp;Mapping!$C$7)/COUNT(BO$7:BO$26),"")</f>
        <v/>
      </c>
      <c r="BP31" s="67">
        <f>IFERROR(COUNTIF(BP$7:BP$26,"&gt;="&amp;Mapping!$C$7)/COUNT(BP$7:BP$26),"")</f>
        <v/>
      </c>
      <c r="BQ31" s="67">
        <f>IFERROR(COUNTIF(BQ$7:BQ$26,"&gt;="&amp;Mapping!$C$7)/COUNT(BQ$7:BQ$26),"")</f>
        <v/>
      </c>
    </row>
    <row r="32">
      <c r="D32" s="13" t="inlineStr">
        <is>
          <t>Attainment level (0–3)</t>
        </is>
      </c>
      <c r="BE32" s="68">
        <f>IF(BE31="","",IF(BE31&gt;=Mapping!$C$8,3,IF(BE31&gt;=Mapping!$C$9,2,IF(BE31&gt;=Mapping!$C$10,1,0))))</f>
        <v/>
      </c>
      <c r="BF32" s="68">
        <f>IF(BF31="","",IF(BF31&gt;=Mapping!$C$8,3,IF(BF31&gt;=Mapping!$C$9,2,IF(BF31&gt;=Mapping!$C$10,1,0))))</f>
        <v/>
      </c>
      <c r="BG32" s="68">
        <f>IF(BG31="","",IF(BG31&gt;=Mapping!$C$8,3,IF(BG31&gt;=Mapping!$C$9,2,IF(BG31&gt;=Mapping!$C$10,1,0))))</f>
        <v/>
      </c>
      <c r="BH32" s="68">
        <f>IF(BH31="","",IF(BH31&gt;=Mapping!$C$8,3,IF(BH31&gt;=Mapping!$C$9,2,IF(BH31&gt;=Mapping!$C$10,1,0))))</f>
        <v/>
      </c>
      <c r="BI32" s="68">
        <f>IF(BI31="","",IF(BI31&gt;=Mapping!$C$8,3,IF(BI31&gt;=Mapping!$C$9,2,IF(BI31&gt;=Mapping!$C$10,1,0))))</f>
        <v/>
      </c>
      <c r="BJ32" s="68">
        <f>IF(BJ31="","",IF(BJ31&gt;=Mapping!$C$8,3,IF(BJ31&gt;=Mapping!$C$9,2,IF(BJ31&gt;=Mapping!$C$10,1,0))))</f>
        <v/>
      </c>
      <c r="BK32" s="68">
        <f>IF(BK31="","",IF(BK31&gt;=Mapping!$C$8,3,IF(BK31&gt;=Mapping!$C$9,2,IF(BK31&gt;=Mapping!$C$10,1,0))))</f>
        <v/>
      </c>
      <c r="BL32" s="68">
        <f>IF(BL31="","",IF(BL31&gt;=Mapping!$C$8,3,IF(BL31&gt;=Mapping!$C$9,2,IF(BL31&gt;=Mapping!$C$10,1,0))))</f>
        <v/>
      </c>
      <c r="BM32" s="68">
        <f>IF(BM31="","",IF(BM31&gt;=Mapping!$C$8,3,IF(BM31&gt;=Mapping!$C$9,2,IF(BM31&gt;=Mapping!$C$10,1,0))))</f>
        <v/>
      </c>
      <c r="BN32" s="68">
        <f>IF(BN31="","",IF(BN31&gt;=Mapping!$C$8,3,IF(BN31&gt;=Mapping!$C$9,2,IF(BN31&gt;=Mapping!$C$10,1,0))))</f>
        <v/>
      </c>
      <c r="BO32" s="68">
        <f>IF(BO31="","",IF(BO31&gt;=Mapping!$C$8,3,IF(BO31&gt;=Mapping!$C$9,2,IF(BO31&gt;=Mapping!$C$10,1,0))))</f>
        <v/>
      </c>
      <c r="BP32" s="68">
        <f>IF(BP31="","",IF(BP31&gt;=Mapping!$C$8,3,IF(BP31&gt;=Mapping!$C$9,2,IF(BP31&gt;=Mapping!$C$10,1,0))))</f>
        <v/>
      </c>
      <c r="BQ32" s="68">
        <f>IF(BQ31="","",IF(BQ31&gt;=Mapping!$C$8,3,IF(BQ31&gt;=Mapping!$C$9,2,IF(BQ31&gt;=Mapping!$C$10,1,0))))</f>
        <v/>
      </c>
    </row>
    <row r="33">
      <c r="D33" s="13" t="inlineStr">
        <is>
          <t>Teams evaluated</t>
        </is>
      </c>
      <c r="E33" s="20">
        <f>COUNT(BA$7:BA$26)</f>
        <v/>
      </c>
    </row>
    <row r="34">
      <c r="D34" s="69" t="inlineStr">
        <is>
          <t>SDG attainment: average contribution strength (0–3)</t>
        </is>
      </c>
      <c r="E34" s="60">
        <f>IFERROR((SUM(AY$7:AY$26)+SUM(AZ$7:AZ$26))/(COUNT(AY$7:AY$26)+COUNT(AZ$7:AZ$26)),"")</f>
        <v/>
      </c>
    </row>
    <row r="35">
      <c r="D35" s="69" t="inlineStr">
        <is>
          <t>SDG: % of rated team–SDG pairs at/above target strength</t>
        </is>
      </c>
      <c r="E35" s="70">
        <f>IFERROR((COUNTIF(AY$7:AY$26,"&gt;="&amp;Mapping!$C$12)+COUNTIF(AZ$7:AZ$26,"&gt;="&amp;Mapping!$C$12))/(COUNT(AY$7:AY$26)+COUNT(AZ$7:AZ$26)),"")</f>
        <v/>
      </c>
    </row>
    <row r="36">
      <c r="D36" s="69" t="inlineStr">
        <is>
          <t>SDG: team–SDG pairs rated</t>
        </is>
      </c>
      <c r="E36" s="71">
        <f>COUNT(AY$7:AY$26)+COUNT(AZ$7:AZ$26)</f>
        <v/>
      </c>
    </row>
    <row r="37">
      <c r="D37" s="69" t="inlineStr">
        <is>
          <t>SDG: team–SDG pairs claimed</t>
        </is>
      </c>
      <c r="E37" s="71">
        <f>COUNTIF($F$7:$F$26,"?*")+SUMPRODUCT(--($G$7:$G$26&lt;&gt;""),--($G$7:$G$26&lt;&gt;$F$7:$F$26))</f>
        <v/>
      </c>
    </row>
    <row r="39">
      <c r="D39" s="16" t="inlineStr">
        <is>
          <t>SDG goal-wise attainment (from contribution-strength ratings)</t>
        </is>
      </c>
    </row>
    <row r="40" ht="45" customHeight="1">
      <c r="D40" s="17" t="inlineStr">
        <is>
          <t>Sustainable Development Goal</t>
        </is>
      </c>
      <c r="E40" s="17" t="inlineStr">
        <is>
          <t>Solutions (teams claiming the goal)</t>
        </is>
      </c>
      <c r="F40" s="17" t="inlineStr">
        <is>
          <t>Solutions rated</t>
        </is>
      </c>
      <c r="G40" s="17" t="inlineStr">
        <is>
          <t>Avg contribution strength (0–3)</t>
        </is>
      </c>
      <c r="H40" s="17" t="inlineStr">
        <is>
          <t>% rated at/above target strength</t>
        </is>
      </c>
    </row>
    <row r="41">
      <c r="D41" s="5">
        <f>'SDG List'!A2</f>
        <v/>
      </c>
      <c r="E41" s="11">
        <f>COUNTIF($F$7:$F$26,$D41)+COUNTIF($G$7:$G$26,$D41)-COUNTIFS($F$7:$F$26,$D41,$G$7:$G$26,$D41)</f>
        <v/>
      </c>
      <c r="F41" s="11">
        <f>COUNTIFS($F$7:$F$26,$D41,AY$7:AY$26,"&gt;=0")+COUNTIFS($G$7:$G$26,$D41,AZ$7:AZ$26,"&gt;=0")</f>
        <v/>
      </c>
      <c r="G41" s="18">
        <f>IFERROR((SUMIF($F$7:$F$26,$D41,AY$7:AY$26)+SUMIF($G$7:$G$26,$D41,AZ$7:AZ$26))/F41,"")</f>
        <v/>
      </c>
      <c r="H41" s="12">
        <f>IFERROR((COUNTIFS($F$7:$F$26,$D41,AY$7:AY$26,"&gt;="&amp;Mapping!$C$12)+COUNTIFS($G$7:$G$26,$D41,AZ$7:AZ$26,"&gt;="&amp;Mapping!$C$12))/F41,"")</f>
        <v/>
      </c>
    </row>
    <row r="42">
      <c r="D42" s="5">
        <f>'SDG List'!A3</f>
        <v/>
      </c>
      <c r="E42" s="11">
        <f>COUNTIF($F$7:$F$26,$D42)+COUNTIF($G$7:$G$26,$D42)-COUNTIFS($F$7:$F$26,$D42,$G$7:$G$26,$D42)</f>
        <v/>
      </c>
      <c r="F42" s="11">
        <f>COUNTIFS($F$7:$F$26,$D42,AY$7:AY$26,"&gt;=0")+COUNTIFS($G$7:$G$26,$D42,AZ$7:AZ$26,"&gt;=0")</f>
        <v/>
      </c>
      <c r="G42" s="18">
        <f>IFERROR((SUMIF($F$7:$F$26,$D42,AY$7:AY$26)+SUMIF($G$7:$G$26,$D42,AZ$7:AZ$26))/F42,"")</f>
        <v/>
      </c>
      <c r="H42" s="12">
        <f>IFERROR((COUNTIFS($F$7:$F$26,$D42,AY$7:AY$26,"&gt;="&amp;Mapping!$C$12)+COUNTIFS($G$7:$G$26,$D42,AZ$7:AZ$26,"&gt;="&amp;Mapping!$C$12))/F42,"")</f>
        <v/>
      </c>
    </row>
    <row r="43">
      <c r="D43" s="5">
        <f>'SDG List'!A4</f>
        <v/>
      </c>
      <c r="E43" s="11">
        <f>COUNTIF($F$7:$F$26,$D43)+COUNTIF($G$7:$G$26,$D43)-COUNTIFS($F$7:$F$26,$D43,$G$7:$G$26,$D43)</f>
        <v/>
      </c>
      <c r="F43" s="11">
        <f>COUNTIFS($F$7:$F$26,$D43,AY$7:AY$26,"&gt;=0")+COUNTIFS($G$7:$G$26,$D43,AZ$7:AZ$26,"&gt;=0")</f>
        <v/>
      </c>
      <c r="G43" s="18">
        <f>IFERROR((SUMIF($F$7:$F$26,$D43,AY$7:AY$26)+SUMIF($G$7:$G$26,$D43,AZ$7:AZ$26))/F43,"")</f>
        <v/>
      </c>
      <c r="H43" s="12">
        <f>IFERROR((COUNTIFS($F$7:$F$26,$D43,AY$7:AY$26,"&gt;="&amp;Mapping!$C$12)+COUNTIFS($G$7:$G$26,$D43,AZ$7:AZ$26,"&gt;="&amp;Mapping!$C$12))/F43,"")</f>
        <v/>
      </c>
    </row>
    <row r="44">
      <c r="D44" s="5">
        <f>'SDG List'!A5</f>
        <v/>
      </c>
      <c r="E44" s="11">
        <f>COUNTIF($F$7:$F$26,$D44)+COUNTIF($G$7:$G$26,$D44)-COUNTIFS($F$7:$F$26,$D44,$G$7:$G$26,$D44)</f>
        <v/>
      </c>
      <c r="F44" s="11">
        <f>COUNTIFS($F$7:$F$26,$D44,AY$7:AY$26,"&gt;=0")+COUNTIFS($G$7:$G$26,$D44,AZ$7:AZ$26,"&gt;=0")</f>
        <v/>
      </c>
      <c r="G44" s="18">
        <f>IFERROR((SUMIF($F$7:$F$26,$D44,AY$7:AY$26)+SUMIF($G$7:$G$26,$D44,AZ$7:AZ$26))/F44,"")</f>
        <v/>
      </c>
      <c r="H44" s="12">
        <f>IFERROR((COUNTIFS($F$7:$F$26,$D44,AY$7:AY$26,"&gt;="&amp;Mapping!$C$12)+COUNTIFS($G$7:$G$26,$D44,AZ$7:AZ$26,"&gt;="&amp;Mapping!$C$12))/F44,"")</f>
        <v/>
      </c>
    </row>
    <row r="45">
      <c r="D45" s="5">
        <f>'SDG List'!A6</f>
        <v/>
      </c>
      <c r="E45" s="11">
        <f>COUNTIF($F$7:$F$26,$D45)+COUNTIF($G$7:$G$26,$D45)-COUNTIFS($F$7:$F$26,$D45,$G$7:$G$26,$D45)</f>
        <v/>
      </c>
      <c r="F45" s="11">
        <f>COUNTIFS($F$7:$F$26,$D45,AY$7:AY$26,"&gt;=0")+COUNTIFS($G$7:$G$26,$D45,AZ$7:AZ$26,"&gt;=0")</f>
        <v/>
      </c>
      <c r="G45" s="18">
        <f>IFERROR((SUMIF($F$7:$F$26,$D45,AY$7:AY$26)+SUMIF($G$7:$G$26,$D45,AZ$7:AZ$26))/F45,"")</f>
        <v/>
      </c>
      <c r="H45" s="12">
        <f>IFERROR((COUNTIFS($F$7:$F$26,$D45,AY$7:AY$26,"&gt;="&amp;Mapping!$C$12)+COUNTIFS($G$7:$G$26,$D45,AZ$7:AZ$26,"&gt;="&amp;Mapping!$C$12))/F45,"")</f>
        <v/>
      </c>
    </row>
    <row r="46">
      <c r="D46" s="5">
        <f>'SDG List'!A7</f>
        <v/>
      </c>
      <c r="E46" s="11">
        <f>COUNTIF($F$7:$F$26,$D46)+COUNTIF($G$7:$G$26,$D46)-COUNTIFS($F$7:$F$26,$D46,$G$7:$G$26,$D46)</f>
        <v/>
      </c>
      <c r="F46" s="11">
        <f>COUNTIFS($F$7:$F$26,$D46,AY$7:AY$26,"&gt;=0")+COUNTIFS($G$7:$G$26,$D46,AZ$7:AZ$26,"&gt;=0")</f>
        <v/>
      </c>
      <c r="G46" s="18">
        <f>IFERROR((SUMIF($F$7:$F$26,$D46,AY$7:AY$26)+SUMIF($G$7:$G$26,$D46,AZ$7:AZ$26))/F46,"")</f>
        <v/>
      </c>
      <c r="H46" s="12">
        <f>IFERROR((COUNTIFS($F$7:$F$26,$D46,AY$7:AY$26,"&gt;="&amp;Mapping!$C$12)+COUNTIFS($G$7:$G$26,$D46,AZ$7:AZ$26,"&gt;="&amp;Mapping!$C$12))/F46,"")</f>
        <v/>
      </c>
    </row>
    <row r="47">
      <c r="D47" s="5">
        <f>'SDG List'!A8</f>
        <v/>
      </c>
      <c r="E47" s="11">
        <f>COUNTIF($F$7:$F$26,$D47)+COUNTIF($G$7:$G$26,$D47)-COUNTIFS($F$7:$F$26,$D47,$G$7:$G$26,$D47)</f>
        <v/>
      </c>
      <c r="F47" s="11">
        <f>COUNTIFS($F$7:$F$26,$D47,AY$7:AY$26,"&gt;=0")+COUNTIFS($G$7:$G$26,$D47,AZ$7:AZ$26,"&gt;=0")</f>
        <v/>
      </c>
      <c r="G47" s="18">
        <f>IFERROR((SUMIF($F$7:$F$26,$D47,AY$7:AY$26)+SUMIF($G$7:$G$26,$D47,AZ$7:AZ$26))/F47,"")</f>
        <v/>
      </c>
      <c r="H47" s="12">
        <f>IFERROR((COUNTIFS($F$7:$F$26,$D47,AY$7:AY$26,"&gt;="&amp;Mapping!$C$12)+COUNTIFS($G$7:$G$26,$D47,AZ$7:AZ$26,"&gt;="&amp;Mapping!$C$12))/F47,"")</f>
        <v/>
      </c>
    </row>
    <row r="48">
      <c r="D48" s="5">
        <f>'SDG List'!A9</f>
        <v/>
      </c>
      <c r="E48" s="11">
        <f>COUNTIF($F$7:$F$26,$D48)+COUNTIF($G$7:$G$26,$D48)-COUNTIFS($F$7:$F$26,$D48,$G$7:$G$26,$D48)</f>
        <v/>
      </c>
      <c r="F48" s="11">
        <f>COUNTIFS($F$7:$F$26,$D48,AY$7:AY$26,"&gt;=0")+COUNTIFS($G$7:$G$26,$D48,AZ$7:AZ$26,"&gt;=0")</f>
        <v/>
      </c>
      <c r="G48" s="18">
        <f>IFERROR((SUMIF($F$7:$F$26,$D48,AY$7:AY$26)+SUMIF($G$7:$G$26,$D48,AZ$7:AZ$26))/F48,"")</f>
        <v/>
      </c>
      <c r="H48" s="12">
        <f>IFERROR((COUNTIFS($F$7:$F$26,$D48,AY$7:AY$26,"&gt;="&amp;Mapping!$C$12)+COUNTIFS($G$7:$G$26,$D48,AZ$7:AZ$26,"&gt;="&amp;Mapping!$C$12))/F48,"")</f>
        <v/>
      </c>
    </row>
    <row r="49">
      <c r="D49" s="5">
        <f>'SDG List'!A10</f>
        <v/>
      </c>
      <c r="E49" s="11">
        <f>COUNTIF($F$7:$F$26,$D49)+COUNTIF($G$7:$G$26,$D49)-COUNTIFS($F$7:$F$26,$D49,$G$7:$G$26,$D49)</f>
        <v/>
      </c>
      <c r="F49" s="11">
        <f>COUNTIFS($F$7:$F$26,$D49,AY$7:AY$26,"&gt;=0")+COUNTIFS($G$7:$G$26,$D49,AZ$7:AZ$26,"&gt;=0")</f>
        <v/>
      </c>
      <c r="G49" s="18">
        <f>IFERROR((SUMIF($F$7:$F$26,$D49,AY$7:AY$26)+SUMIF($G$7:$G$26,$D49,AZ$7:AZ$26))/F49,"")</f>
        <v/>
      </c>
      <c r="H49" s="12">
        <f>IFERROR((COUNTIFS($F$7:$F$26,$D49,AY$7:AY$26,"&gt;="&amp;Mapping!$C$12)+COUNTIFS($G$7:$G$26,$D49,AZ$7:AZ$26,"&gt;="&amp;Mapping!$C$12))/F49,"")</f>
        <v/>
      </c>
    </row>
    <row r="50">
      <c r="D50" s="5">
        <f>'SDG List'!A11</f>
        <v/>
      </c>
      <c r="E50" s="11">
        <f>COUNTIF($F$7:$F$26,$D50)+COUNTIF($G$7:$G$26,$D50)-COUNTIFS($F$7:$F$26,$D50,$G$7:$G$26,$D50)</f>
        <v/>
      </c>
      <c r="F50" s="11">
        <f>COUNTIFS($F$7:$F$26,$D50,AY$7:AY$26,"&gt;=0")+COUNTIFS($G$7:$G$26,$D50,AZ$7:AZ$26,"&gt;=0")</f>
        <v/>
      </c>
      <c r="G50" s="18">
        <f>IFERROR((SUMIF($F$7:$F$26,$D50,AY$7:AY$26)+SUMIF($G$7:$G$26,$D50,AZ$7:AZ$26))/F50,"")</f>
        <v/>
      </c>
      <c r="H50" s="12">
        <f>IFERROR((COUNTIFS($F$7:$F$26,$D50,AY$7:AY$26,"&gt;="&amp;Mapping!$C$12)+COUNTIFS($G$7:$G$26,$D50,AZ$7:AZ$26,"&gt;="&amp;Mapping!$C$12))/F50,"")</f>
        <v/>
      </c>
    </row>
    <row r="51">
      <c r="D51" s="5">
        <f>'SDG List'!A12</f>
        <v/>
      </c>
      <c r="E51" s="11">
        <f>COUNTIF($F$7:$F$26,$D51)+COUNTIF($G$7:$G$26,$D51)-COUNTIFS($F$7:$F$26,$D51,$G$7:$G$26,$D51)</f>
        <v/>
      </c>
      <c r="F51" s="11">
        <f>COUNTIFS($F$7:$F$26,$D51,AY$7:AY$26,"&gt;=0")+COUNTIFS($G$7:$G$26,$D51,AZ$7:AZ$26,"&gt;=0")</f>
        <v/>
      </c>
      <c r="G51" s="18">
        <f>IFERROR((SUMIF($F$7:$F$26,$D51,AY$7:AY$26)+SUMIF($G$7:$G$26,$D51,AZ$7:AZ$26))/F51,"")</f>
        <v/>
      </c>
      <c r="H51" s="12">
        <f>IFERROR((COUNTIFS($F$7:$F$26,$D51,AY$7:AY$26,"&gt;="&amp;Mapping!$C$12)+COUNTIFS($G$7:$G$26,$D51,AZ$7:AZ$26,"&gt;="&amp;Mapping!$C$12))/F51,"")</f>
        <v/>
      </c>
    </row>
    <row r="52">
      <c r="D52" s="5">
        <f>'SDG List'!A13</f>
        <v/>
      </c>
      <c r="E52" s="11">
        <f>COUNTIF($F$7:$F$26,$D52)+COUNTIF($G$7:$G$26,$D52)-COUNTIFS($F$7:$F$26,$D52,$G$7:$G$26,$D52)</f>
        <v/>
      </c>
      <c r="F52" s="11">
        <f>COUNTIFS($F$7:$F$26,$D52,AY$7:AY$26,"&gt;=0")+COUNTIFS($G$7:$G$26,$D52,AZ$7:AZ$26,"&gt;=0")</f>
        <v/>
      </c>
      <c r="G52" s="18">
        <f>IFERROR((SUMIF($F$7:$F$26,$D52,AY$7:AY$26)+SUMIF($G$7:$G$26,$D52,AZ$7:AZ$26))/F52,"")</f>
        <v/>
      </c>
      <c r="H52" s="12">
        <f>IFERROR((COUNTIFS($F$7:$F$26,$D52,AY$7:AY$26,"&gt;="&amp;Mapping!$C$12)+COUNTIFS($G$7:$G$26,$D52,AZ$7:AZ$26,"&gt;="&amp;Mapping!$C$12))/F52,"")</f>
        <v/>
      </c>
    </row>
    <row r="53">
      <c r="D53" s="5">
        <f>'SDG List'!A14</f>
        <v/>
      </c>
      <c r="E53" s="11">
        <f>COUNTIF($F$7:$F$26,$D53)+COUNTIF($G$7:$G$26,$D53)-COUNTIFS($F$7:$F$26,$D53,$G$7:$G$26,$D53)</f>
        <v/>
      </c>
      <c r="F53" s="11">
        <f>COUNTIFS($F$7:$F$26,$D53,AY$7:AY$26,"&gt;=0")+COUNTIFS($G$7:$G$26,$D53,AZ$7:AZ$26,"&gt;=0")</f>
        <v/>
      </c>
      <c r="G53" s="18">
        <f>IFERROR((SUMIF($F$7:$F$26,$D53,AY$7:AY$26)+SUMIF($G$7:$G$26,$D53,AZ$7:AZ$26))/F53,"")</f>
        <v/>
      </c>
      <c r="H53" s="12">
        <f>IFERROR((COUNTIFS($F$7:$F$26,$D53,AY$7:AY$26,"&gt;="&amp;Mapping!$C$12)+COUNTIFS($G$7:$G$26,$D53,AZ$7:AZ$26,"&gt;="&amp;Mapping!$C$12))/F53,"")</f>
        <v/>
      </c>
    </row>
    <row r="54">
      <c r="D54" s="5">
        <f>'SDG List'!A15</f>
        <v/>
      </c>
      <c r="E54" s="11">
        <f>COUNTIF($F$7:$F$26,$D54)+COUNTIF($G$7:$G$26,$D54)-COUNTIFS($F$7:$F$26,$D54,$G$7:$G$26,$D54)</f>
        <v/>
      </c>
      <c r="F54" s="11">
        <f>COUNTIFS($F$7:$F$26,$D54,AY$7:AY$26,"&gt;=0")+COUNTIFS($G$7:$G$26,$D54,AZ$7:AZ$26,"&gt;=0")</f>
        <v/>
      </c>
      <c r="G54" s="18">
        <f>IFERROR((SUMIF($F$7:$F$26,$D54,AY$7:AY$26)+SUMIF($G$7:$G$26,$D54,AZ$7:AZ$26))/F54,"")</f>
        <v/>
      </c>
      <c r="H54" s="12">
        <f>IFERROR((COUNTIFS($F$7:$F$26,$D54,AY$7:AY$26,"&gt;="&amp;Mapping!$C$12)+COUNTIFS($G$7:$G$26,$D54,AZ$7:AZ$26,"&gt;="&amp;Mapping!$C$12))/F54,"")</f>
        <v/>
      </c>
    </row>
    <row r="55">
      <c r="D55" s="5">
        <f>'SDG List'!A16</f>
        <v/>
      </c>
      <c r="E55" s="11">
        <f>COUNTIF($F$7:$F$26,$D55)+COUNTIF($G$7:$G$26,$D55)-COUNTIFS($F$7:$F$26,$D55,$G$7:$G$26,$D55)</f>
        <v/>
      </c>
      <c r="F55" s="11">
        <f>COUNTIFS($F$7:$F$26,$D55,AY$7:AY$26,"&gt;=0")+COUNTIFS($G$7:$G$26,$D55,AZ$7:AZ$26,"&gt;=0")</f>
        <v/>
      </c>
      <c r="G55" s="18">
        <f>IFERROR((SUMIF($F$7:$F$26,$D55,AY$7:AY$26)+SUMIF($G$7:$G$26,$D55,AZ$7:AZ$26))/F55,"")</f>
        <v/>
      </c>
      <c r="H55" s="12">
        <f>IFERROR((COUNTIFS($F$7:$F$26,$D55,AY$7:AY$26,"&gt;="&amp;Mapping!$C$12)+COUNTIFS($G$7:$G$26,$D55,AZ$7:AZ$26,"&gt;="&amp;Mapping!$C$12))/F55,"")</f>
        <v/>
      </c>
    </row>
    <row r="56">
      <c r="D56" s="5">
        <f>'SDG List'!A17</f>
        <v/>
      </c>
      <c r="E56" s="11">
        <f>COUNTIF($F$7:$F$26,$D56)+COUNTIF($G$7:$G$26,$D56)-COUNTIFS($F$7:$F$26,$D56,$G$7:$G$26,$D56)</f>
        <v/>
      </c>
      <c r="F56" s="11">
        <f>COUNTIFS($F$7:$F$26,$D56,AY$7:AY$26,"&gt;=0")+COUNTIFS($G$7:$G$26,$D56,AZ$7:AZ$26,"&gt;=0")</f>
        <v/>
      </c>
      <c r="G56" s="18">
        <f>IFERROR((SUMIF($F$7:$F$26,$D56,AY$7:AY$26)+SUMIF($G$7:$G$26,$D56,AZ$7:AZ$26))/F56,"")</f>
        <v/>
      </c>
      <c r="H56" s="12">
        <f>IFERROR((COUNTIFS($F$7:$F$26,$D56,AY$7:AY$26,"&gt;="&amp;Mapping!$C$12)+COUNTIFS($G$7:$G$26,$D56,AZ$7:AZ$26,"&gt;="&amp;Mapping!$C$12))/F56,"")</f>
        <v/>
      </c>
    </row>
    <row r="57">
      <c r="D57" s="5">
        <f>'SDG List'!A18</f>
        <v/>
      </c>
      <c r="E57" s="11">
        <f>COUNTIF($F$7:$F$26,$D57)+COUNTIF($G$7:$G$26,$D57)-COUNTIFS($F$7:$F$26,$D57,$G$7:$G$26,$D57)</f>
        <v/>
      </c>
      <c r="F57" s="11">
        <f>COUNTIFS($F$7:$F$26,$D57,AY$7:AY$26,"&gt;=0")+COUNTIFS($G$7:$G$26,$D57,AZ$7:AZ$26,"&gt;=0")</f>
        <v/>
      </c>
      <c r="G57" s="18">
        <f>IFERROR((SUMIF($F$7:$F$26,$D57,AY$7:AY$26)+SUMIF($G$7:$G$26,$D57,AZ$7:AZ$26))/F57,"")</f>
        <v/>
      </c>
      <c r="H57" s="12">
        <f>IFERROR((COUNTIFS($F$7:$F$26,$D57,AY$7:AY$26,"&gt;="&amp;Mapping!$C$12)+COUNTIFS($G$7:$G$26,$D57,AZ$7:AZ$26,"&gt;="&amp;Mapping!$C$12))/F57,"")</f>
        <v/>
      </c>
    </row>
  </sheetData>
  <sheetProtection selectLockedCells="0" selectUnlockedCells="0" sheet="1" objects="0" insertRows="1" insertHyperlinks="1" autoFilter="1" scenarios="0" formatColumns="0" deleteColumns="1" insertColumns="1" pivotTables="1" deleteRows="1" formatCells="1" formatRows="0" sort="1"/>
  <mergeCells count="29">
    <mergeCell ref="E5:E6"/>
    <mergeCell ref="AP2:BB2"/>
    <mergeCell ref="AE4:AO4"/>
    <mergeCell ref="BA4:BD4"/>
    <mergeCell ref="F5:F6"/>
    <mergeCell ref="B2:C2"/>
    <mergeCell ref="AE3:AF3"/>
    <mergeCell ref="T4:AD4"/>
    <mergeCell ref="AY4:AZ4"/>
    <mergeCell ref="BP4:BQ4"/>
    <mergeCell ref="BE4:BO4"/>
    <mergeCell ref="A1:AO1"/>
    <mergeCell ref="AG3:AO3"/>
    <mergeCell ref="I3:J3"/>
    <mergeCell ref="A5:A6"/>
    <mergeCell ref="G5:G6"/>
    <mergeCell ref="AP4:AX4"/>
    <mergeCell ref="V3:AD3"/>
    <mergeCell ref="K3:S3"/>
    <mergeCell ref="B5:B6"/>
    <mergeCell ref="D5:D6"/>
    <mergeCell ref="A4:H4"/>
    <mergeCell ref="D39:H39"/>
    <mergeCell ref="H5:H6"/>
    <mergeCell ref="I4:S4"/>
    <mergeCell ref="AP1:BQ1"/>
    <mergeCell ref="T3:U3"/>
    <mergeCell ref="E2:H2"/>
    <mergeCell ref="C5:C6"/>
  </mergeCells>
  <conditionalFormatting sqref="BD7:BD26">
    <cfRule type="cellIs" priority="1" operator="equal" dxfId="4">
      <formula>"Shortlisted"</formula>
    </cfRule>
  </conditionalFormatting>
  <conditionalFormatting sqref="S7:S26">
    <cfRule type="expression" priority="2" dxfId="5">
      <formula>OR($G7="",$G7=$F7)</formula>
    </cfRule>
  </conditionalFormatting>
  <conditionalFormatting sqref="AD7:AD26">
    <cfRule type="expression" priority="3" dxfId="5">
      <formula>OR($G7="",$G7=$F7)</formula>
    </cfRule>
  </conditionalFormatting>
  <conditionalFormatting sqref="AO7:AO26">
    <cfRule type="expression" priority="4" dxfId="5">
      <formula>OR($G7="",$G7=$F7)</formula>
    </cfRule>
  </conditionalFormatting>
  <conditionalFormatting sqref="BE32:BQ32">
    <cfRule type="expression" priority="5" dxfId="0">
      <formula>AND(ISNUMBER(BE32),BE32=3)</formula>
    </cfRule>
    <cfRule type="expression" priority="6" dxfId="1">
      <formula>AND(ISNUMBER(BE32),BE32=2)</formula>
    </cfRule>
    <cfRule type="expression" priority="7" dxfId="2">
      <formula>AND(ISNUMBER(BE32),BE32=1)</formula>
    </cfRule>
    <cfRule type="expression" priority="8" dxfId="3">
      <formula>AND(ISNUMBER(BE32),BE32=0)</formula>
    </cfRule>
  </conditionalFormatting>
  <dataValidations count="31">
    <dataValidation sqref="I7:I26" showDropDown="0" showInputMessage="0" showErrorMessage="1" allowBlank="0" errorTitle="Score out of range" error="Enter a score between 0 and the criterion's Max Marks (row 6)." type="decimal" operator="between">
      <formula1>0</formula1>
      <formula2>$I$6</formula2>
    </dataValidation>
    <dataValidation sqref="J7:J26" showDropDown="0" showInputMessage="0" showErrorMessage="1" allowBlank="0" errorTitle="Score out of range" error="Enter a score between 0 and the criterion's Max Marks (row 6)." type="decimal" operator="between">
      <formula1>0</formula1>
      <formula2>$J$6</formula2>
    </dataValidation>
    <dataValidation sqref="K7:K26" showDropDown="0" showInputMessage="0" showErrorMessage="1" allowBlank="0" errorTitle="Score out of range" error="Enter a score between 0 and the criterion's Max Marks (row 6)." type="decimal" operator="between">
      <formula1>0</formula1>
      <formula2>$K$6</formula2>
    </dataValidation>
    <dataValidation sqref="L7:L26" showDropDown="0" showInputMessage="0" showErrorMessage="1" allowBlank="0" errorTitle="Score out of range" error="Enter a score between 0 and the criterion's Max Marks (row 6)." type="decimal" operator="between">
      <formula1>0</formula1>
      <formula2>$L$6</formula2>
    </dataValidation>
    <dataValidation sqref="M7:M26" showDropDown="0" showInputMessage="0" showErrorMessage="1" allowBlank="0" errorTitle="Score out of range" error="Enter a score between 0 and the criterion's Max Marks (row 6)." type="decimal" operator="between">
      <formula1>0</formula1>
      <formula2>$M$6</formula2>
    </dataValidation>
    <dataValidation sqref="N7:N26" showDropDown="0" showInputMessage="0" showErrorMessage="1" allowBlank="0" errorTitle="Score out of range" error="Enter a score between 0 and the criterion's Max Marks (row 6)." type="decimal" operator="between">
      <formula1>0</formula1>
      <formula2>$N$6</formula2>
    </dataValidation>
    <dataValidation sqref="O7:O26" showDropDown="0" showInputMessage="0" showErrorMessage="1" allowBlank="0" errorTitle="Score out of range" error="Enter a score between 0 and the criterion's Max Marks (row 6)." type="decimal" operator="between">
      <formula1>0</formula1>
      <formula2>$O$6</formula2>
    </dataValidation>
    <dataValidation sqref="P7:P26" showDropDown="0" showInputMessage="0" showErrorMessage="1" allowBlank="0" errorTitle="Score out of range" error="Enter a score between 0 and the criterion's Max Marks (row 6)." type="decimal" operator="between">
      <formula1>0</formula1>
      <formula2>$P$6</formula2>
    </dataValidation>
    <dataValidation sqref="Q7:Q26" showDropDown="0" showInputMessage="0" showErrorMessage="1" allowBlank="0" errorTitle="Score out of range" error="Enter a score between 0 and the criterion's Max Marks (row 6)." type="decimal" operator="between">
      <formula1>0</formula1>
      <formula2>$Q$6</formula2>
    </dataValidation>
    <dataValidation sqref="R7:S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T7:T26" showDropDown="0" showInputMessage="0" showErrorMessage="1" allowBlank="0" errorTitle="Score out of range" error="Enter a score between 0 and the criterion's Max Marks (row 6)." type="decimal" operator="between">
      <formula1>0</formula1>
      <formula2>$T$6</formula2>
    </dataValidation>
    <dataValidation sqref="U7:U26" showDropDown="0" showInputMessage="0" showErrorMessage="1" allowBlank="0" errorTitle="Score out of range" error="Enter a score between 0 and the criterion's Max Marks (row 6)." type="decimal" operator="between">
      <formula1>0</formula1>
      <formula2>$U$6</formula2>
    </dataValidation>
    <dataValidation sqref="V7:V26" showDropDown="0" showInputMessage="0" showErrorMessage="1" allowBlank="0" errorTitle="Score out of range" error="Enter a score between 0 and the criterion's Max Marks (row 6)." type="decimal" operator="between">
      <formula1>0</formula1>
      <formula2>$V$6</formula2>
    </dataValidation>
    <dataValidation sqref="W7:W26" showDropDown="0" showInputMessage="0" showErrorMessage="1" allowBlank="0" errorTitle="Score out of range" error="Enter a score between 0 and the criterion's Max Marks (row 6)." type="decimal" operator="between">
      <formula1>0</formula1>
      <formula2>$W$6</formula2>
    </dataValidation>
    <dataValidation sqref="X7:X26" showDropDown="0" showInputMessage="0" showErrorMessage="1" allowBlank="0" errorTitle="Score out of range" error="Enter a score between 0 and the criterion's Max Marks (row 6)." type="decimal" operator="between">
      <formula1>0</formula1>
      <formula2>$X$6</formula2>
    </dataValidation>
    <dataValidation sqref="Y7:Y26" showDropDown="0" showInputMessage="0" showErrorMessage="1" allowBlank="0" errorTitle="Score out of range" error="Enter a score between 0 and the criterion's Max Marks (row 6)." type="decimal" operator="between">
      <formula1>0</formula1>
      <formula2>$Y$6</formula2>
    </dataValidation>
    <dataValidation sqref="Z7:Z26" showDropDown="0" showInputMessage="0" showErrorMessage="1" allowBlank="0" errorTitle="Score out of range" error="Enter a score between 0 and the criterion's Max Marks (row 6)." type="decimal" operator="between">
      <formula1>0</formula1>
      <formula2>$Z$6</formula2>
    </dataValidation>
    <dataValidation sqref="AA7:AA26" showDropDown="0" showInputMessage="0" showErrorMessage="1" allowBlank="0" errorTitle="Score out of range" error="Enter a score between 0 and the criterion's Max Marks (row 6)." type="decimal" operator="between">
      <formula1>0</formula1>
      <formula2>$AA$6</formula2>
    </dataValidation>
    <dataValidation sqref="AB7:AB26" showDropDown="0" showInputMessage="0" showErrorMessage="1" allowBlank="0" errorTitle="Score out of range" error="Enter a score between 0 and the criterion's Max Marks (row 6)." type="decimal" operator="between">
      <formula1>0</formula1>
      <formula2>$AB$6</formula2>
    </dataValidation>
    <dataValidation sqref="AC7:AD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AE7:AE26" showDropDown="0" showInputMessage="0" showErrorMessage="1" allowBlank="0" errorTitle="Score out of range" error="Enter a score between 0 and the criterion's Max Marks (row 6)." type="decimal" operator="between">
      <formula1>0</formula1>
      <formula2>$AE$6</formula2>
    </dataValidation>
    <dataValidation sqref="AF7:AF26" showDropDown="0" showInputMessage="0" showErrorMessage="1" allowBlank="0" errorTitle="Score out of range" error="Enter a score between 0 and the criterion's Max Marks (row 6)." type="decimal" operator="between">
      <formula1>0</formula1>
      <formula2>$AF$6</formula2>
    </dataValidation>
    <dataValidation sqref="AG7:AG26" showDropDown="0" showInputMessage="0" showErrorMessage="1" allowBlank="0" errorTitle="Score out of range" error="Enter a score between 0 and the criterion's Max Marks (row 6)." type="decimal" operator="between">
      <formula1>0</formula1>
      <formula2>$AG$6</formula2>
    </dataValidation>
    <dataValidation sqref="AH7:AH26" showDropDown="0" showInputMessage="0" showErrorMessage="1" allowBlank="0" errorTitle="Score out of range" error="Enter a score between 0 and the criterion's Max Marks (row 6)." type="decimal" operator="between">
      <formula1>0</formula1>
      <formula2>$AH$6</formula2>
    </dataValidation>
    <dataValidation sqref="AI7:AI26" showDropDown="0" showInputMessage="0" showErrorMessage="1" allowBlank="0" errorTitle="Score out of range" error="Enter a score between 0 and the criterion's Max Marks (row 6)." type="decimal" operator="between">
      <formula1>0</formula1>
      <formula2>$AI$6</formula2>
    </dataValidation>
    <dataValidation sqref="AJ7:AJ26" showDropDown="0" showInputMessage="0" showErrorMessage="1" allowBlank="0" errorTitle="Score out of range" error="Enter a score between 0 and the criterion's Max Marks (row 6)." type="decimal" operator="between">
      <formula1>0</formula1>
      <formula2>$AJ$6</formula2>
    </dataValidation>
    <dataValidation sqref="AK7:AK26" showDropDown="0" showInputMessage="0" showErrorMessage="1" allowBlank="0" errorTitle="Score out of range" error="Enter a score between 0 and the criterion's Max Marks (row 6)." type="decimal" operator="between">
      <formula1>0</formula1>
      <formula2>$AK$6</formula2>
    </dataValidation>
    <dataValidation sqref="AL7:AL26" showDropDown="0" showInputMessage="0" showErrorMessage="1" allowBlank="0" errorTitle="Score out of range" error="Enter a score between 0 and the criterion's Max Marks (row 6)." type="decimal" operator="between">
      <formula1>0</formula1>
      <formula2>$AL$6</formula2>
    </dataValidation>
    <dataValidation sqref="AM7:AM26" showDropDown="0" showInputMessage="0" showErrorMessage="1" allowBlank="0" errorTitle="Score out of range" error="Enter a score between 0 and the criterion's Max Marks (row 6)." type="decimal" operator="between">
      <formula1>0</formula1>
      <formula2>$AM$6</formula2>
    </dataValidation>
    <dataValidation sqref="AN7:AO2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F7:G26" showDropDown="0" showInputMessage="0" showErrorMessage="1" allowBlank="1" errorTitle="Pick an SDG" error="Select an SDG from the list." type="list">
      <formula1>SDGList</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C55A11"/>
    <outlinePr summaryBelow="1" summaryRight="1"/>
    <pageSetUpPr fitToPage="1"/>
  </sheetPr>
  <dimension ref="A1:BR47"/>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9" customWidth="1" min="3" max="3"/>
    <col width="30" customWidth="1" min="4" max="4"/>
    <col width="30" customWidth="1" min="5" max="5"/>
    <col width="26" customWidth="1" min="6" max="6"/>
    <col width="26" customWidth="1" min="7" max="7"/>
    <col width="34"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8.5" customWidth="1" min="17" max="17"/>
    <col width="8.5" customWidth="1" min="18" max="18"/>
    <col width="8.5" customWidth="1" min="19" max="19"/>
    <col width="8.5" customWidth="1" min="20" max="20"/>
    <col width="8.5" customWidth="1" min="21" max="21"/>
    <col width="8.5" customWidth="1" min="22" max="22"/>
    <col width="8.5" customWidth="1" min="23" max="23"/>
    <col width="8.5" customWidth="1" min="24" max="24"/>
    <col width="8.5" customWidth="1" min="25" max="25"/>
    <col width="8.5" customWidth="1" min="26" max="26"/>
    <col width="8.5" customWidth="1" min="27" max="27"/>
    <col width="8.5" customWidth="1" min="28" max="28"/>
    <col width="8.5" customWidth="1" min="29" max="29"/>
    <col width="8.5" customWidth="1" min="30" max="30"/>
    <col width="8.5" customWidth="1" min="31" max="31"/>
    <col width="8.5" customWidth="1" min="32" max="32"/>
    <col width="8.5" customWidth="1" min="33" max="33"/>
    <col width="8.5" customWidth="1" min="34" max="34"/>
    <col width="8.5" customWidth="1" min="35" max="35"/>
    <col width="8.5" customWidth="1" min="36" max="36"/>
    <col width="8.5" customWidth="1" min="37" max="37"/>
    <col width="8.5" customWidth="1" min="38" max="38"/>
    <col width="8.5" customWidth="1" min="39" max="39"/>
    <col width="8.5" customWidth="1" min="40" max="40"/>
    <col width="8.5" customWidth="1" min="41" max="41"/>
    <col width="8.5" customWidth="1" min="42" max="42"/>
    <col width="8.5" customWidth="1" min="43" max="43"/>
    <col width="8.5" customWidth="1" min="44" max="44"/>
    <col width="8.5" customWidth="1" min="45" max="45"/>
    <col width="8.5" customWidth="1" min="46" max="46"/>
    <col width="8.5" customWidth="1" min="47" max="47"/>
    <col width="8.5" customWidth="1" min="48" max="48"/>
    <col width="8.5" customWidth="1" min="49" max="49"/>
    <col width="8.5" customWidth="1" min="50" max="50"/>
    <col width="8.5" customWidth="1" min="51" max="51"/>
    <col width="8.5" customWidth="1" min="52" max="52"/>
    <col width="8.5" customWidth="1" min="53" max="53"/>
    <col width="8.5" customWidth="1" min="54" max="54"/>
    <col width="8.5" customWidth="1" min="55" max="55"/>
    <col width="14" customWidth="1" min="56" max="56"/>
    <col width="8.5" customWidth="1" min="57" max="57"/>
    <col width="8.5" customWidth="1" min="58" max="58"/>
    <col width="8.5" customWidth="1" min="59" max="59"/>
    <col width="8.5" customWidth="1" min="60" max="60"/>
    <col width="8.5" customWidth="1" min="61" max="61"/>
    <col width="8.5" customWidth="1" min="62" max="62"/>
    <col width="8.5" customWidth="1" min="63" max="63"/>
    <col width="8.5" customWidth="1" min="64" max="64"/>
    <col width="8.5" customWidth="1" min="65" max="65"/>
    <col width="8.5" customWidth="1" min="66" max="66"/>
    <col width="8.5" customWidth="1" min="67" max="67"/>
    <col width="8.5" customWidth="1" min="68" max="68"/>
    <col width="8.5" customWidth="1" min="69" max="69"/>
    <col hidden="1" width="13" customWidth="1" min="70" max="70"/>
  </cols>
  <sheetData>
    <row r="1">
      <c r="A1" s="26">
        <f>Mapping!$C$3&amp;" — 5th Semester — Inter-Section Hackathon (Finals)"</f>
        <v/>
      </c>
      <c r="AP1" s="9">
        <f>Mapping!$C$4&amp;" | Dept. of "&amp;Mapping!$C$5&amp;" | AY "&amp;Mapping!$C$6</f>
        <v/>
      </c>
    </row>
    <row r="2">
      <c r="A2" s="24" t="inlineStr">
        <is>
          <t>Date:</t>
        </is>
      </c>
      <c r="B2" s="29" t="n"/>
      <c r="C2" s="21" t="n"/>
      <c r="D2" s="32" t="inlineStr">
        <is>
          <t>Venue / Coordinator:</t>
        </is>
      </c>
      <c r="E2" s="6" t="n"/>
      <c r="F2" s="21" t="n"/>
      <c r="G2" s="21" t="n"/>
      <c r="H2" s="21" t="n"/>
      <c r="AP2" s="32">
        <f>"PO/PSO target per team: "&amp;TEXT(Mapping!$C$7,"0%")&amp;"  |  SDG reached at strength ≥ "&amp;Mapping!$C$12&amp;"  |  Shortlist: top "&amp;Mapping!$C$11</f>
        <v/>
      </c>
      <c r="AQ2" s="36" t="n"/>
      <c r="AR2" s="36" t="n"/>
      <c r="AS2" s="36" t="n"/>
      <c r="AT2" s="36" t="n"/>
      <c r="AU2" s="36" t="n"/>
      <c r="AV2" s="36" t="n"/>
      <c r="AW2" s="36" t="n"/>
      <c r="AX2" s="36" t="n"/>
      <c r="AY2" s="36" t="n"/>
      <c r="AZ2" s="36" t="n"/>
      <c r="BA2" s="36" t="n"/>
      <c r="BB2" s="4" t="n"/>
    </row>
    <row r="3">
      <c r="D3" s="32" t="inlineStr">
        <is>
          <t>Evaluator names →</t>
        </is>
      </c>
      <c r="I3" s="40" t="inlineStr">
        <is>
          <t>Evaluator 1:</t>
        </is>
      </c>
      <c r="J3" s="4" t="n"/>
      <c r="K3" s="6" t="n"/>
      <c r="L3" s="21" t="n"/>
      <c r="M3" s="21" t="n"/>
      <c r="N3" s="21" t="n"/>
      <c r="O3" s="21" t="n"/>
      <c r="P3" s="21" t="n"/>
      <c r="Q3" s="21" t="n"/>
      <c r="R3" s="21" t="n"/>
      <c r="S3" s="21" t="n"/>
      <c r="T3" s="41" t="inlineStr">
        <is>
          <t>Evaluator 2:</t>
        </is>
      </c>
      <c r="U3" s="4" t="n"/>
      <c r="V3" s="6" t="n"/>
      <c r="W3" s="21" t="n"/>
      <c r="X3" s="21" t="n"/>
      <c r="Y3" s="21" t="n"/>
      <c r="Z3" s="21" t="n"/>
      <c r="AA3" s="21" t="n"/>
      <c r="AB3" s="21" t="n"/>
      <c r="AC3" s="21" t="n"/>
      <c r="AD3" s="21" t="n"/>
      <c r="AE3" s="42" t="inlineStr">
        <is>
          <t>Evaluator 3:</t>
        </is>
      </c>
      <c r="AF3" s="4" t="n"/>
      <c r="AG3" s="6" t="n"/>
      <c r="AH3" s="21" t="n"/>
      <c r="AI3" s="21" t="n"/>
      <c r="AJ3" s="21" t="n"/>
      <c r="AK3" s="21" t="n"/>
      <c r="AL3" s="21" t="n"/>
      <c r="AM3" s="21" t="n"/>
      <c r="AN3" s="21" t="n"/>
      <c r="AO3" s="21" t="n"/>
    </row>
    <row r="4" ht="30" customHeight="1">
      <c r="A4" s="9" t="inlineStr">
        <is>
          <t>Team Details (Coordinator) — auto-filled from section shortlists</t>
        </is>
      </c>
      <c r="B4" s="21" t="n"/>
      <c r="C4" s="21" t="n"/>
      <c r="D4" s="21" t="n"/>
      <c r="E4" s="21" t="n"/>
      <c r="F4" s="21" t="n"/>
      <c r="G4" s="21" t="n"/>
      <c r="H4" s="21" t="n"/>
      <c r="I4" s="43" t="inlineStr">
        <is>
          <t>Evaluator 1 — rubric marks, then SDG contribution strength (0–3)</t>
        </is>
      </c>
      <c r="J4" s="21" t="n"/>
      <c r="K4" s="21" t="n"/>
      <c r="L4" s="21" t="n"/>
      <c r="M4" s="21" t="n"/>
      <c r="N4" s="21" t="n"/>
      <c r="O4" s="21" t="n"/>
      <c r="P4" s="21" t="n"/>
      <c r="Q4" s="21" t="n"/>
      <c r="R4" s="21" t="n"/>
      <c r="S4" s="21" t="n"/>
      <c r="T4" s="44" t="inlineStr">
        <is>
          <t>Evaluator 2 — rubric marks, then SDG contribution strength (0–3)</t>
        </is>
      </c>
      <c r="U4" s="21" t="n"/>
      <c r="V4" s="21" t="n"/>
      <c r="W4" s="21" t="n"/>
      <c r="X4" s="21" t="n"/>
      <c r="Y4" s="21" t="n"/>
      <c r="Z4" s="21" t="n"/>
      <c r="AA4" s="21" t="n"/>
      <c r="AB4" s="21" t="n"/>
      <c r="AC4" s="21" t="n"/>
      <c r="AD4" s="21" t="n"/>
      <c r="AE4" s="45" t="inlineStr">
        <is>
          <t>Evaluator 3 — rubric marks, then SDG contribution strength (0–3)</t>
        </is>
      </c>
      <c r="AF4" s="21" t="n"/>
      <c r="AG4" s="21" t="n"/>
      <c r="AH4" s="21" t="n"/>
      <c r="AI4" s="21" t="n"/>
      <c r="AJ4" s="21" t="n"/>
      <c r="AK4" s="21" t="n"/>
      <c r="AL4" s="21" t="n"/>
      <c r="AM4" s="21" t="n"/>
      <c r="AN4" s="21" t="n"/>
      <c r="AO4" s="21" t="n"/>
      <c r="AP4" s="46" t="inlineStr">
        <is>
          <t>Consolidated rubric score (average of evaluators)</t>
        </is>
      </c>
      <c r="AQ4" s="21" t="n"/>
      <c r="AR4" s="21" t="n"/>
      <c r="AS4" s="21" t="n"/>
      <c r="AT4" s="21" t="n"/>
      <c r="AU4" s="21" t="n"/>
      <c r="AV4" s="21" t="n"/>
      <c r="AW4" s="21" t="n"/>
      <c r="AX4" s="21" t="n"/>
      <c r="AY4" s="16" t="inlineStr">
        <is>
          <t>SDG strength (avg, 0–3)</t>
        </is>
      </c>
      <c r="AZ4" s="21" t="n"/>
      <c r="BA4" s="2" t="inlineStr">
        <is>
          <t>Result</t>
        </is>
      </c>
      <c r="BB4" s="21" t="n"/>
      <c r="BC4" s="21" t="n"/>
      <c r="BD4" s="21" t="n"/>
      <c r="BE4" s="9" t="inlineStr">
        <is>
          <t>Programme Outcome attainment per team (%)</t>
        </is>
      </c>
      <c r="BF4" s="21" t="n"/>
      <c r="BG4" s="21" t="n"/>
      <c r="BH4" s="21" t="n"/>
      <c r="BI4" s="21" t="n"/>
      <c r="BJ4" s="21" t="n"/>
      <c r="BK4" s="21" t="n"/>
      <c r="BL4" s="21" t="n"/>
      <c r="BM4" s="21" t="n"/>
      <c r="BN4" s="21" t="n"/>
      <c r="BO4" s="21" t="n"/>
      <c r="BP4" s="38" t="inlineStr">
        <is>
          <t>PSO attainment (%)</t>
        </is>
      </c>
      <c r="BQ4" s="21" t="n"/>
    </row>
    <row r="5" ht="48" customHeight="1">
      <c r="A5" s="9" t="inlineStr">
        <is>
          <t>S.No</t>
        </is>
      </c>
      <c r="B5" s="9" t="inlineStr">
        <is>
          <t>Section</t>
        </is>
      </c>
      <c r="C5" s="9" t="inlineStr">
        <is>
          <t>Team ID</t>
        </is>
      </c>
      <c r="D5" s="9" t="inlineStr">
        <is>
          <t>Team Name</t>
        </is>
      </c>
      <c r="E5" s="9" t="inlineStr">
        <is>
          <t>Team Members (USN / Name)</t>
        </is>
      </c>
      <c r="F5" s="9" t="inlineStr">
        <is>
          <t>Primary SDG</t>
        </is>
      </c>
      <c r="G5" s="9" t="inlineStr">
        <is>
          <t>Secondary SDG (optional)</t>
        </is>
      </c>
      <c r="H5" s="9" t="inlineStr">
        <is>
          <t>Problem Statement / Project Title</t>
        </is>
      </c>
      <c r="I5" s="47">
        <f>Rubric!C4</f>
        <v/>
      </c>
      <c r="J5" s="47">
        <f>Rubric!C5</f>
        <v/>
      </c>
      <c r="K5" s="47">
        <f>Rubric!C6</f>
        <v/>
      </c>
      <c r="L5" s="47">
        <f>Rubric!C7</f>
        <v/>
      </c>
      <c r="M5" s="47">
        <f>Rubric!C8</f>
        <v/>
      </c>
      <c r="N5" s="47">
        <f>Rubric!C9</f>
        <v/>
      </c>
      <c r="O5" s="47">
        <f>Rubric!C10</f>
        <v/>
      </c>
      <c r="P5" s="47">
        <f>Rubric!C11</f>
        <v/>
      </c>
      <c r="Q5" s="47">
        <f>Rubric!C12</f>
        <v/>
      </c>
      <c r="R5" s="48" t="inlineStr">
        <is>
          <t>Primary SDG strength</t>
        </is>
      </c>
      <c r="S5" s="48" t="inlineStr">
        <is>
          <t>Secondary SDG strength</t>
        </is>
      </c>
      <c r="T5" s="49">
        <f>Rubric!C4</f>
        <v/>
      </c>
      <c r="U5" s="49">
        <f>Rubric!C5</f>
        <v/>
      </c>
      <c r="V5" s="49">
        <f>Rubric!C6</f>
        <v/>
      </c>
      <c r="W5" s="49">
        <f>Rubric!C7</f>
        <v/>
      </c>
      <c r="X5" s="49">
        <f>Rubric!C8</f>
        <v/>
      </c>
      <c r="Y5" s="49">
        <f>Rubric!C9</f>
        <v/>
      </c>
      <c r="Z5" s="49">
        <f>Rubric!C10</f>
        <v/>
      </c>
      <c r="AA5" s="49">
        <f>Rubric!C11</f>
        <v/>
      </c>
      <c r="AB5" s="49">
        <f>Rubric!C12</f>
        <v/>
      </c>
      <c r="AC5" s="48" t="inlineStr">
        <is>
          <t>Primary SDG strength</t>
        </is>
      </c>
      <c r="AD5" s="48" t="inlineStr">
        <is>
          <t>Secondary SDG strength</t>
        </is>
      </c>
      <c r="AE5" s="50">
        <f>Rubric!C4</f>
        <v/>
      </c>
      <c r="AF5" s="50">
        <f>Rubric!C5</f>
        <v/>
      </c>
      <c r="AG5" s="50">
        <f>Rubric!C6</f>
        <v/>
      </c>
      <c r="AH5" s="50">
        <f>Rubric!C7</f>
        <v/>
      </c>
      <c r="AI5" s="50">
        <f>Rubric!C8</f>
        <v/>
      </c>
      <c r="AJ5" s="50">
        <f>Rubric!C9</f>
        <v/>
      </c>
      <c r="AK5" s="50">
        <f>Rubric!C10</f>
        <v/>
      </c>
      <c r="AL5" s="50">
        <f>Rubric!C11</f>
        <v/>
      </c>
      <c r="AM5" s="50">
        <f>Rubric!C12</f>
        <v/>
      </c>
      <c r="AN5" s="48" t="inlineStr">
        <is>
          <t>Primary SDG strength</t>
        </is>
      </c>
      <c r="AO5" s="48" t="inlineStr">
        <is>
          <t>Secondary SDG strength</t>
        </is>
      </c>
      <c r="AP5" s="51">
        <f>Rubric!C4</f>
        <v/>
      </c>
      <c r="AQ5" s="51">
        <f>Rubric!C5</f>
        <v/>
      </c>
      <c r="AR5" s="51">
        <f>Rubric!C6</f>
        <v/>
      </c>
      <c r="AS5" s="51">
        <f>Rubric!C7</f>
        <v/>
      </c>
      <c r="AT5" s="51">
        <f>Rubric!C8</f>
        <v/>
      </c>
      <c r="AU5" s="51">
        <f>Rubric!C9</f>
        <v/>
      </c>
      <c r="AV5" s="51">
        <f>Rubric!C10</f>
        <v/>
      </c>
      <c r="AW5" s="51">
        <f>Rubric!C11</f>
        <v/>
      </c>
      <c r="AX5" s="51">
        <f>Rubric!C12</f>
        <v/>
      </c>
      <c r="AY5" s="48" t="inlineStr">
        <is>
          <t>Primary SDG strength</t>
        </is>
      </c>
      <c r="AZ5" s="48" t="inlineStr">
        <is>
          <t>Secondary SDG strength</t>
        </is>
      </c>
      <c r="BA5" s="7" t="inlineStr">
        <is>
          <t>Total</t>
        </is>
      </c>
      <c r="BB5" s="7" t="inlineStr">
        <is>
          <t>Score %</t>
        </is>
      </c>
      <c r="BC5" s="7" t="inlineStr">
        <is>
          <t>Rank</t>
        </is>
      </c>
      <c r="BD5" s="7" t="inlineStr">
        <is>
          <t>Status</t>
        </is>
      </c>
      <c r="BE5" s="10" t="inlineStr">
        <is>
          <t>PO1</t>
        </is>
      </c>
      <c r="BF5" s="10" t="inlineStr">
        <is>
          <t>PO2</t>
        </is>
      </c>
      <c r="BG5" s="10" t="inlineStr">
        <is>
          <t>PO3</t>
        </is>
      </c>
      <c r="BH5" s="10" t="inlineStr">
        <is>
          <t>PO4</t>
        </is>
      </c>
      <c r="BI5" s="10" t="inlineStr">
        <is>
          <t>PO5</t>
        </is>
      </c>
      <c r="BJ5" s="10" t="inlineStr">
        <is>
          <t>PO6</t>
        </is>
      </c>
      <c r="BK5" s="10" t="inlineStr">
        <is>
          <t>PO7</t>
        </is>
      </c>
      <c r="BL5" s="10" t="inlineStr">
        <is>
          <t>PO8</t>
        </is>
      </c>
      <c r="BM5" s="10" t="inlineStr">
        <is>
          <t>PO9</t>
        </is>
      </c>
      <c r="BN5" s="10" t="inlineStr">
        <is>
          <t>PO10</t>
        </is>
      </c>
      <c r="BO5" s="10" t="inlineStr">
        <is>
          <t>PO11</t>
        </is>
      </c>
      <c r="BP5" s="10" t="inlineStr">
        <is>
          <t>PSO1</t>
        </is>
      </c>
      <c r="BQ5" s="10" t="inlineStr">
        <is>
          <t>PSO2</t>
        </is>
      </c>
    </row>
    <row r="6">
      <c r="A6" s="21" t="n"/>
      <c r="B6" s="21" t="n"/>
      <c r="C6" s="21" t="n"/>
      <c r="D6" s="21" t="n"/>
      <c r="E6" s="21" t="n"/>
      <c r="F6" s="21" t="n"/>
      <c r="G6" s="21" t="n"/>
      <c r="H6" s="21" t="n"/>
      <c r="I6" s="52">
        <f>Rubric!D4</f>
        <v/>
      </c>
      <c r="J6" s="52">
        <f>Rubric!D5</f>
        <v/>
      </c>
      <c r="K6" s="52">
        <f>Rubric!D6</f>
        <v/>
      </c>
      <c r="L6" s="52">
        <f>Rubric!D7</f>
        <v/>
      </c>
      <c r="M6" s="52">
        <f>Rubric!D8</f>
        <v/>
      </c>
      <c r="N6" s="52">
        <f>Rubric!D9</f>
        <v/>
      </c>
      <c r="O6" s="52">
        <f>Rubric!D10</f>
        <v/>
      </c>
      <c r="P6" s="52">
        <f>Rubric!D11</f>
        <v/>
      </c>
      <c r="Q6" s="52">
        <f>Rubric!D12</f>
        <v/>
      </c>
      <c r="R6" s="53" t="inlineStr">
        <is>
          <t>0–3</t>
        </is>
      </c>
      <c r="S6" s="53" t="inlineStr">
        <is>
          <t>0–3</t>
        </is>
      </c>
      <c r="T6" s="54">
        <f>Rubric!D4</f>
        <v/>
      </c>
      <c r="U6" s="54">
        <f>Rubric!D5</f>
        <v/>
      </c>
      <c r="V6" s="54">
        <f>Rubric!D6</f>
        <v/>
      </c>
      <c r="W6" s="54">
        <f>Rubric!D7</f>
        <v/>
      </c>
      <c r="X6" s="54">
        <f>Rubric!D8</f>
        <v/>
      </c>
      <c r="Y6" s="54">
        <f>Rubric!D9</f>
        <v/>
      </c>
      <c r="Z6" s="54">
        <f>Rubric!D10</f>
        <v/>
      </c>
      <c r="AA6" s="54">
        <f>Rubric!D11</f>
        <v/>
      </c>
      <c r="AB6" s="54">
        <f>Rubric!D12</f>
        <v/>
      </c>
      <c r="AC6" s="53" t="inlineStr">
        <is>
          <t>0–3</t>
        </is>
      </c>
      <c r="AD6" s="53" t="inlineStr">
        <is>
          <t>0–3</t>
        </is>
      </c>
      <c r="AE6" s="55">
        <f>Rubric!D4</f>
        <v/>
      </c>
      <c r="AF6" s="55">
        <f>Rubric!D5</f>
        <v/>
      </c>
      <c r="AG6" s="55">
        <f>Rubric!D6</f>
        <v/>
      </c>
      <c r="AH6" s="55">
        <f>Rubric!D7</f>
        <v/>
      </c>
      <c r="AI6" s="55">
        <f>Rubric!D8</f>
        <v/>
      </c>
      <c r="AJ6" s="55">
        <f>Rubric!D9</f>
        <v/>
      </c>
      <c r="AK6" s="55">
        <f>Rubric!D10</f>
        <v/>
      </c>
      <c r="AL6" s="55">
        <f>Rubric!D11</f>
        <v/>
      </c>
      <c r="AM6" s="55">
        <f>Rubric!D12</f>
        <v/>
      </c>
      <c r="AN6" s="53" t="inlineStr">
        <is>
          <t>0–3</t>
        </is>
      </c>
      <c r="AO6" s="53" t="inlineStr">
        <is>
          <t>0–3</t>
        </is>
      </c>
      <c r="AP6" s="56">
        <f>Rubric!D4</f>
        <v/>
      </c>
      <c r="AQ6" s="56">
        <f>Rubric!D5</f>
        <v/>
      </c>
      <c r="AR6" s="56">
        <f>Rubric!D6</f>
        <v/>
      </c>
      <c r="AS6" s="56">
        <f>Rubric!D7</f>
        <v/>
      </c>
      <c r="AT6" s="56">
        <f>Rubric!D8</f>
        <v/>
      </c>
      <c r="AU6" s="56">
        <f>Rubric!D9</f>
        <v/>
      </c>
      <c r="AV6" s="56">
        <f>Rubric!D10</f>
        <v/>
      </c>
      <c r="AW6" s="56">
        <f>Rubric!D11</f>
        <v/>
      </c>
      <c r="AX6" s="56">
        <f>Rubric!D12</f>
        <v/>
      </c>
      <c r="AY6" s="53" t="inlineStr">
        <is>
          <t>0–3</t>
        </is>
      </c>
      <c r="AZ6" s="53" t="inlineStr">
        <is>
          <t>0–3</t>
        </is>
      </c>
      <c r="BA6" s="7">
        <f>Rubric!$D$13</f>
        <v/>
      </c>
      <c r="BB6" s="57" t="inlineStr"/>
      <c r="BC6" s="57" t="inlineStr"/>
      <c r="BD6" s="57" t="inlineStr"/>
      <c r="BE6" s="58" t="inlineStr">
        <is>
          <t>%</t>
        </is>
      </c>
      <c r="BF6" s="58" t="inlineStr">
        <is>
          <t>%</t>
        </is>
      </c>
      <c r="BG6" s="58" t="inlineStr">
        <is>
          <t>%</t>
        </is>
      </c>
      <c r="BH6" s="58" t="inlineStr">
        <is>
          <t>%</t>
        </is>
      </c>
      <c r="BI6" s="58" t="inlineStr">
        <is>
          <t>%</t>
        </is>
      </c>
      <c r="BJ6" s="58" t="inlineStr">
        <is>
          <t>%</t>
        </is>
      </c>
      <c r="BK6" s="58" t="inlineStr">
        <is>
          <t>%</t>
        </is>
      </c>
      <c r="BL6" s="58" t="inlineStr">
        <is>
          <t>%</t>
        </is>
      </c>
      <c r="BM6" s="58" t="inlineStr">
        <is>
          <t>%</t>
        </is>
      </c>
      <c r="BN6" s="58" t="inlineStr">
        <is>
          <t>%</t>
        </is>
      </c>
      <c r="BO6" s="58" t="inlineStr">
        <is>
          <t>%</t>
        </is>
      </c>
      <c r="BP6" s="58" t="inlineStr">
        <is>
          <t>%</t>
        </is>
      </c>
      <c r="BQ6" s="58" t="inlineStr">
        <is>
          <t>%</t>
        </is>
      </c>
    </row>
    <row r="7" ht="30" customHeight="1">
      <c r="A7" s="28" t="n">
        <v>1</v>
      </c>
      <c r="B7" s="29" t="inlineStr">
        <is>
          <t>5th Sem - A</t>
        </is>
      </c>
      <c r="C7" s="29">
        <f>IFERROR(INDEX('5A Intra'!$C$7:$C$26,MATCH(1,'5A Intra'!$BC$7:$BC$26,0))&amp;"","")</f>
        <v/>
      </c>
      <c r="D7" s="6">
        <f>IFERROR(INDEX('5A Intra'!$D$7:$D$26,MATCH(1,'5A Intra'!$BC$7:$BC$26,0))&amp;"","")</f>
        <v/>
      </c>
      <c r="E7" s="6">
        <f>IFERROR(INDEX('5A Intra'!$E$7:$E$26,MATCH(1,'5A Intra'!$BC$7:$BC$26,0))&amp;"","")</f>
        <v/>
      </c>
      <c r="F7" s="29">
        <f>IFERROR(INDEX('5A Intra'!$F$7:$F$26,MATCH(1,'5A Intra'!$BC$7:$BC$26,0))&amp;"","")</f>
        <v/>
      </c>
      <c r="G7" s="29">
        <f>IFERROR(INDEX('5A Intra'!$G$7:$G$26,MATCH(1,'5A Intra'!$BC$7:$BC$26,0))&amp;"","")</f>
        <v/>
      </c>
      <c r="H7" s="6">
        <f>IFERROR(INDEX('5A Intra'!$H$7:$H$26,MATCH(1,'5A Intra'!$BC$7:$BC$26,0))&amp;"","")</f>
        <v/>
      </c>
      <c r="I7" s="29" t="n"/>
      <c r="J7" s="29" t="n"/>
      <c r="K7" s="29" t="n"/>
      <c r="L7" s="29" t="n"/>
      <c r="M7" s="29" t="n"/>
      <c r="N7" s="29" t="n"/>
      <c r="O7" s="29" t="n"/>
      <c r="P7" s="29" t="n"/>
      <c r="Q7" s="29" t="n"/>
      <c r="R7" s="29" t="n"/>
      <c r="S7" s="29" t="n"/>
      <c r="T7" s="29" t="n"/>
      <c r="U7" s="29" t="n"/>
      <c r="V7" s="29" t="n"/>
      <c r="W7" s="29" t="n"/>
      <c r="X7" s="29" t="n"/>
      <c r="Y7" s="29" t="n"/>
      <c r="Z7" s="29" t="n"/>
      <c r="AA7" s="29" t="n"/>
      <c r="AB7" s="29" t="n"/>
      <c r="AC7" s="29" t="n"/>
      <c r="AD7" s="29" t="n"/>
      <c r="AE7" s="29" t="n"/>
      <c r="AF7" s="29" t="n"/>
      <c r="AG7" s="29" t="n"/>
      <c r="AH7" s="29" t="n"/>
      <c r="AI7" s="29" t="n"/>
      <c r="AJ7" s="29" t="n"/>
      <c r="AK7" s="29" t="n"/>
      <c r="AL7" s="29" t="n"/>
      <c r="AM7" s="29" t="n"/>
      <c r="AN7" s="29" t="n"/>
      <c r="AO7" s="29" t="n"/>
      <c r="AP7" s="59">
        <f>IF(COUNT(I7,T7,AE7)=0,"",AVERAGE(I7,T7,AE7))</f>
        <v/>
      </c>
      <c r="AQ7" s="59">
        <f>IF(COUNT(J7,U7,AF7)=0,"",AVERAGE(J7,U7,AF7))</f>
        <v/>
      </c>
      <c r="AR7" s="59">
        <f>IF(COUNT(K7,V7,AG7)=0,"",AVERAGE(K7,V7,AG7))</f>
        <v/>
      </c>
      <c r="AS7" s="59">
        <f>IF(COUNT(L7,W7,AH7)=0,"",AVERAGE(L7,W7,AH7))</f>
        <v/>
      </c>
      <c r="AT7" s="59">
        <f>IF(COUNT(M7,X7,AI7)=0,"",AVERAGE(M7,X7,AI7))</f>
        <v/>
      </c>
      <c r="AU7" s="59">
        <f>IF(COUNT(N7,Y7,AJ7)=0,"",AVERAGE(N7,Y7,AJ7))</f>
        <v/>
      </c>
      <c r="AV7" s="59">
        <f>IF(COUNT(O7,Z7,AK7)=0,"",AVERAGE(O7,Z7,AK7))</f>
        <v/>
      </c>
      <c r="AW7" s="59">
        <f>IF(COUNT(P7,AA7,AL7)=0,"",AVERAGE(P7,AA7,AL7))</f>
        <v/>
      </c>
      <c r="AX7" s="59">
        <f>IF(COUNT(Q7,AB7,AM7)=0,"",AVERAGE(Q7,AB7,AM7))</f>
        <v/>
      </c>
      <c r="AY7" s="60">
        <f>IF(OR($F7="",COUNT(R7,AC7,AN7)=0),"",AVERAGE(R7,AC7,AN7))</f>
        <v/>
      </c>
      <c r="AZ7" s="60">
        <f>IF(OR($G7="",$G7=$F7,COUNT(S7,AD7,AO7)=0),"",AVERAGE(S7,AD7,AO7))</f>
        <v/>
      </c>
      <c r="BA7" s="61">
        <f>IF(COUNT(AP7:AX7)=0,"",SUM(AP7:AX7))</f>
        <v/>
      </c>
      <c r="BB7" s="62">
        <f>IF(BA7="","",BA7/BA$6)</f>
        <v/>
      </c>
      <c r="BC7" s="14">
        <f>IF(BR7="","",COUNTIF($BR$7:$BR$16,"&gt;"&amp;BR7)+COUNTIF($BR$7:BR7,BR7))</f>
        <v/>
      </c>
      <c r="BD7" s="63">
        <f>IF(BC7="","",IF(BC7&lt;=Mapping!$C$11,"Shortlisted","Not shortlisted"))</f>
        <v/>
      </c>
      <c r="BE7" s="64">
        <f>IFERROR((AP7/AP$6*Mapping!$D$15+AQ7/AQ$6*Mapping!$D$16+AR7/AR$6*Mapping!$D$17+AS7/AS$6*Mapping!$D$18+AT7/AT$6*Mapping!$D$19+AU7/AU$6*Mapping!$D$20+AV7/AV$6*Mapping!$D$21+AW7/AW$6*Mapping!$D$22+AX7/AX$6*Mapping!$D$23)/SUM(Mapping!$D$15:$D$23),"")</f>
        <v/>
      </c>
      <c r="BF7" s="64">
        <f>IFERROR((AP7/AP$6*Mapping!$E$15+AQ7/AQ$6*Mapping!$E$16+AR7/AR$6*Mapping!$E$17+AS7/AS$6*Mapping!$E$18+AT7/AT$6*Mapping!$E$19+AU7/AU$6*Mapping!$E$20+AV7/AV$6*Mapping!$E$21+AW7/AW$6*Mapping!$E$22+AX7/AX$6*Mapping!$E$23)/SUM(Mapping!$E$15:$E$23),"")</f>
        <v/>
      </c>
      <c r="BG7" s="64">
        <f>IFERROR((AP7/AP$6*Mapping!$F$15+AQ7/AQ$6*Mapping!$F$16+AR7/AR$6*Mapping!$F$17+AS7/AS$6*Mapping!$F$18+AT7/AT$6*Mapping!$F$19+AU7/AU$6*Mapping!$F$20+AV7/AV$6*Mapping!$F$21+AW7/AW$6*Mapping!$F$22+AX7/AX$6*Mapping!$F$23)/SUM(Mapping!$F$15:$F$23),"")</f>
        <v/>
      </c>
      <c r="BH7" s="64">
        <f>IFERROR((AP7/AP$6*Mapping!$G$15+AQ7/AQ$6*Mapping!$G$16+AR7/AR$6*Mapping!$G$17+AS7/AS$6*Mapping!$G$18+AT7/AT$6*Mapping!$G$19+AU7/AU$6*Mapping!$G$20+AV7/AV$6*Mapping!$G$21+AW7/AW$6*Mapping!$G$22+AX7/AX$6*Mapping!$G$23)/SUM(Mapping!$G$15:$G$23),"")</f>
        <v/>
      </c>
      <c r="BI7" s="64">
        <f>IFERROR((AP7/AP$6*Mapping!$H$15+AQ7/AQ$6*Mapping!$H$16+AR7/AR$6*Mapping!$H$17+AS7/AS$6*Mapping!$H$18+AT7/AT$6*Mapping!$H$19+AU7/AU$6*Mapping!$H$20+AV7/AV$6*Mapping!$H$21+AW7/AW$6*Mapping!$H$22+AX7/AX$6*Mapping!$H$23)/SUM(Mapping!$H$15:$H$23),"")</f>
        <v/>
      </c>
      <c r="BJ7" s="64">
        <f>IFERROR((AP7/AP$6*Mapping!$I$15+AQ7/AQ$6*Mapping!$I$16+AR7/AR$6*Mapping!$I$17+AS7/AS$6*Mapping!$I$18+AT7/AT$6*Mapping!$I$19+AU7/AU$6*Mapping!$I$20+AV7/AV$6*Mapping!$I$21+AW7/AW$6*Mapping!$I$22+AX7/AX$6*Mapping!$I$23)/SUM(Mapping!$I$15:$I$23),"")</f>
        <v/>
      </c>
      <c r="BK7" s="64">
        <f>IFERROR((AP7/AP$6*Mapping!$J$15+AQ7/AQ$6*Mapping!$J$16+AR7/AR$6*Mapping!$J$17+AS7/AS$6*Mapping!$J$18+AT7/AT$6*Mapping!$J$19+AU7/AU$6*Mapping!$J$20+AV7/AV$6*Mapping!$J$21+AW7/AW$6*Mapping!$J$22+AX7/AX$6*Mapping!$J$23)/SUM(Mapping!$J$15:$J$23),"")</f>
        <v/>
      </c>
      <c r="BL7" s="64">
        <f>IFERROR((AP7/AP$6*Mapping!$K$15+AQ7/AQ$6*Mapping!$K$16+AR7/AR$6*Mapping!$K$17+AS7/AS$6*Mapping!$K$18+AT7/AT$6*Mapping!$K$19+AU7/AU$6*Mapping!$K$20+AV7/AV$6*Mapping!$K$21+AW7/AW$6*Mapping!$K$22+AX7/AX$6*Mapping!$K$23)/SUM(Mapping!$K$15:$K$23),"")</f>
        <v/>
      </c>
      <c r="BM7" s="64">
        <f>IFERROR((AP7/AP$6*Mapping!$L$15+AQ7/AQ$6*Mapping!$L$16+AR7/AR$6*Mapping!$L$17+AS7/AS$6*Mapping!$L$18+AT7/AT$6*Mapping!$L$19+AU7/AU$6*Mapping!$L$20+AV7/AV$6*Mapping!$L$21+AW7/AW$6*Mapping!$L$22+AX7/AX$6*Mapping!$L$23)/SUM(Mapping!$L$15:$L$23),"")</f>
        <v/>
      </c>
      <c r="BN7" s="64">
        <f>IFERROR((AP7/AP$6*Mapping!$M$15+AQ7/AQ$6*Mapping!$M$16+AR7/AR$6*Mapping!$M$17+AS7/AS$6*Mapping!$M$18+AT7/AT$6*Mapping!$M$19+AU7/AU$6*Mapping!$M$20+AV7/AV$6*Mapping!$M$21+AW7/AW$6*Mapping!$M$22+AX7/AX$6*Mapping!$M$23)/SUM(Mapping!$M$15:$M$23),"")</f>
        <v/>
      </c>
      <c r="BO7" s="64">
        <f>IFERROR((AP7/AP$6*Mapping!$N$15+AQ7/AQ$6*Mapping!$N$16+AR7/AR$6*Mapping!$N$17+AS7/AS$6*Mapping!$N$18+AT7/AT$6*Mapping!$N$19+AU7/AU$6*Mapping!$N$20+AV7/AV$6*Mapping!$N$21+AW7/AW$6*Mapping!$N$22+AX7/AX$6*Mapping!$N$23)/SUM(Mapping!$N$15:$N$23),"")</f>
        <v/>
      </c>
      <c r="BP7" s="64">
        <f>IFERROR((AP7/AP$6*Mapping!$O$15+AQ7/AQ$6*Mapping!$O$16+AR7/AR$6*Mapping!$O$17+AS7/AS$6*Mapping!$O$18+AT7/AT$6*Mapping!$O$19+AU7/AU$6*Mapping!$O$20+AV7/AV$6*Mapping!$O$21+AW7/AW$6*Mapping!$O$22+AX7/AX$6*Mapping!$O$23)/SUM(Mapping!$O$15:$O$23),"")</f>
        <v/>
      </c>
      <c r="BQ7" s="64">
        <f>IFERROR((AP7/AP$6*Mapping!$P$15+AQ7/AQ$6*Mapping!$P$16+AR7/AR$6*Mapping!$P$17+AS7/AS$6*Mapping!$P$18+AT7/AT$6*Mapping!$P$19+AU7/AU$6*Mapping!$P$20+AV7/AV$6*Mapping!$P$21+AW7/AW$6*Mapping!$P$22+AX7/AX$6*Mapping!$P$23)/SUM(Mapping!$P$15:$P$23),"")</f>
        <v/>
      </c>
      <c r="BR7" s="65">
        <f>IF(BA7="","",BA7+N(AS7)/10000)</f>
        <v/>
      </c>
    </row>
    <row r="8" ht="30" customHeight="1">
      <c r="A8" s="28" t="n">
        <v>2</v>
      </c>
      <c r="B8" s="29" t="inlineStr">
        <is>
          <t>5th Sem - A</t>
        </is>
      </c>
      <c r="C8" s="29">
        <f>IFERROR(INDEX('5A Intra'!$C$7:$C$26,MATCH(2,'5A Intra'!$BC$7:$BC$26,0))&amp;"","")</f>
        <v/>
      </c>
      <c r="D8" s="6">
        <f>IFERROR(INDEX('5A Intra'!$D$7:$D$26,MATCH(2,'5A Intra'!$BC$7:$BC$26,0))&amp;"","")</f>
        <v/>
      </c>
      <c r="E8" s="6">
        <f>IFERROR(INDEX('5A Intra'!$E$7:$E$26,MATCH(2,'5A Intra'!$BC$7:$BC$26,0))&amp;"","")</f>
        <v/>
      </c>
      <c r="F8" s="29">
        <f>IFERROR(INDEX('5A Intra'!$F$7:$F$26,MATCH(2,'5A Intra'!$BC$7:$BC$26,0))&amp;"","")</f>
        <v/>
      </c>
      <c r="G8" s="29">
        <f>IFERROR(INDEX('5A Intra'!$G$7:$G$26,MATCH(2,'5A Intra'!$BC$7:$BC$26,0))&amp;"","")</f>
        <v/>
      </c>
      <c r="H8" s="6">
        <f>IFERROR(INDEX('5A Intra'!$H$7:$H$26,MATCH(2,'5A Intra'!$BC$7:$BC$26,0))&amp;"","")</f>
        <v/>
      </c>
      <c r="I8" s="29" t="n"/>
      <c r="J8" s="29" t="n"/>
      <c r="K8" s="29" t="n"/>
      <c r="L8" s="29" t="n"/>
      <c r="M8" s="29" t="n"/>
      <c r="N8" s="29" t="n"/>
      <c r="O8" s="29" t="n"/>
      <c r="P8" s="29" t="n"/>
      <c r="Q8" s="29" t="n"/>
      <c r="R8" s="29" t="n"/>
      <c r="S8" s="29" t="n"/>
      <c r="T8" s="29" t="n"/>
      <c r="U8" s="29" t="n"/>
      <c r="V8" s="29" t="n"/>
      <c r="W8" s="29" t="n"/>
      <c r="X8" s="29" t="n"/>
      <c r="Y8" s="29" t="n"/>
      <c r="Z8" s="29" t="n"/>
      <c r="AA8" s="29" t="n"/>
      <c r="AB8" s="29" t="n"/>
      <c r="AC8" s="29" t="n"/>
      <c r="AD8" s="29" t="n"/>
      <c r="AE8" s="29" t="n"/>
      <c r="AF8" s="29" t="n"/>
      <c r="AG8" s="29" t="n"/>
      <c r="AH8" s="29" t="n"/>
      <c r="AI8" s="29" t="n"/>
      <c r="AJ8" s="29" t="n"/>
      <c r="AK8" s="29" t="n"/>
      <c r="AL8" s="29" t="n"/>
      <c r="AM8" s="29" t="n"/>
      <c r="AN8" s="29" t="n"/>
      <c r="AO8" s="29" t="n"/>
      <c r="AP8" s="59">
        <f>IF(COUNT(I8,T8,AE8)=0,"",AVERAGE(I8,T8,AE8))</f>
        <v/>
      </c>
      <c r="AQ8" s="59">
        <f>IF(COUNT(J8,U8,AF8)=0,"",AVERAGE(J8,U8,AF8))</f>
        <v/>
      </c>
      <c r="AR8" s="59">
        <f>IF(COUNT(K8,V8,AG8)=0,"",AVERAGE(K8,V8,AG8))</f>
        <v/>
      </c>
      <c r="AS8" s="59">
        <f>IF(COUNT(L8,W8,AH8)=0,"",AVERAGE(L8,W8,AH8))</f>
        <v/>
      </c>
      <c r="AT8" s="59">
        <f>IF(COUNT(M8,X8,AI8)=0,"",AVERAGE(M8,X8,AI8))</f>
        <v/>
      </c>
      <c r="AU8" s="59">
        <f>IF(COUNT(N8,Y8,AJ8)=0,"",AVERAGE(N8,Y8,AJ8))</f>
        <v/>
      </c>
      <c r="AV8" s="59">
        <f>IF(COUNT(O8,Z8,AK8)=0,"",AVERAGE(O8,Z8,AK8))</f>
        <v/>
      </c>
      <c r="AW8" s="59">
        <f>IF(COUNT(P8,AA8,AL8)=0,"",AVERAGE(P8,AA8,AL8))</f>
        <v/>
      </c>
      <c r="AX8" s="59">
        <f>IF(COUNT(Q8,AB8,AM8)=0,"",AVERAGE(Q8,AB8,AM8))</f>
        <v/>
      </c>
      <c r="AY8" s="60">
        <f>IF(OR($F8="",COUNT(R8,AC8,AN8)=0),"",AVERAGE(R8,AC8,AN8))</f>
        <v/>
      </c>
      <c r="AZ8" s="60">
        <f>IF(OR($G8="",$G8=$F8,COUNT(S8,AD8,AO8)=0),"",AVERAGE(S8,AD8,AO8))</f>
        <v/>
      </c>
      <c r="BA8" s="61">
        <f>IF(COUNT(AP8:AX8)=0,"",SUM(AP8:AX8))</f>
        <v/>
      </c>
      <c r="BB8" s="62">
        <f>IF(BA8="","",BA8/BA$6)</f>
        <v/>
      </c>
      <c r="BC8" s="14">
        <f>IF(BR8="","",COUNTIF($BR$7:$BR$16,"&gt;"&amp;BR8)+COUNTIF($BR$7:BR8,BR8))</f>
        <v/>
      </c>
      <c r="BD8" s="63">
        <f>IF(BC8="","",IF(BC8&lt;=Mapping!$C$11,"Shortlisted","Not shortlisted"))</f>
        <v/>
      </c>
      <c r="BE8" s="64">
        <f>IFERROR((AP8/AP$6*Mapping!$D$15+AQ8/AQ$6*Mapping!$D$16+AR8/AR$6*Mapping!$D$17+AS8/AS$6*Mapping!$D$18+AT8/AT$6*Mapping!$D$19+AU8/AU$6*Mapping!$D$20+AV8/AV$6*Mapping!$D$21+AW8/AW$6*Mapping!$D$22+AX8/AX$6*Mapping!$D$23)/SUM(Mapping!$D$15:$D$23),"")</f>
        <v/>
      </c>
      <c r="BF8" s="64">
        <f>IFERROR((AP8/AP$6*Mapping!$E$15+AQ8/AQ$6*Mapping!$E$16+AR8/AR$6*Mapping!$E$17+AS8/AS$6*Mapping!$E$18+AT8/AT$6*Mapping!$E$19+AU8/AU$6*Mapping!$E$20+AV8/AV$6*Mapping!$E$21+AW8/AW$6*Mapping!$E$22+AX8/AX$6*Mapping!$E$23)/SUM(Mapping!$E$15:$E$23),"")</f>
        <v/>
      </c>
      <c r="BG8" s="64">
        <f>IFERROR((AP8/AP$6*Mapping!$F$15+AQ8/AQ$6*Mapping!$F$16+AR8/AR$6*Mapping!$F$17+AS8/AS$6*Mapping!$F$18+AT8/AT$6*Mapping!$F$19+AU8/AU$6*Mapping!$F$20+AV8/AV$6*Mapping!$F$21+AW8/AW$6*Mapping!$F$22+AX8/AX$6*Mapping!$F$23)/SUM(Mapping!$F$15:$F$23),"")</f>
        <v/>
      </c>
      <c r="BH8" s="64">
        <f>IFERROR((AP8/AP$6*Mapping!$G$15+AQ8/AQ$6*Mapping!$G$16+AR8/AR$6*Mapping!$G$17+AS8/AS$6*Mapping!$G$18+AT8/AT$6*Mapping!$G$19+AU8/AU$6*Mapping!$G$20+AV8/AV$6*Mapping!$G$21+AW8/AW$6*Mapping!$G$22+AX8/AX$6*Mapping!$G$23)/SUM(Mapping!$G$15:$G$23),"")</f>
        <v/>
      </c>
      <c r="BI8" s="64">
        <f>IFERROR((AP8/AP$6*Mapping!$H$15+AQ8/AQ$6*Mapping!$H$16+AR8/AR$6*Mapping!$H$17+AS8/AS$6*Mapping!$H$18+AT8/AT$6*Mapping!$H$19+AU8/AU$6*Mapping!$H$20+AV8/AV$6*Mapping!$H$21+AW8/AW$6*Mapping!$H$22+AX8/AX$6*Mapping!$H$23)/SUM(Mapping!$H$15:$H$23),"")</f>
        <v/>
      </c>
      <c r="BJ8" s="64">
        <f>IFERROR((AP8/AP$6*Mapping!$I$15+AQ8/AQ$6*Mapping!$I$16+AR8/AR$6*Mapping!$I$17+AS8/AS$6*Mapping!$I$18+AT8/AT$6*Mapping!$I$19+AU8/AU$6*Mapping!$I$20+AV8/AV$6*Mapping!$I$21+AW8/AW$6*Mapping!$I$22+AX8/AX$6*Mapping!$I$23)/SUM(Mapping!$I$15:$I$23),"")</f>
        <v/>
      </c>
      <c r="BK8" s="64">
        <f>IFERROR((AP8/AP$6*Mapping!$J$15+AQ8/AQ$6*Mapping!$J$16+AR8/AR$6*Mapping!$J$17+AS8/AS$6*Mapping!$J$18+AT8/AT$6*Mapping!$J$19+AU8/AU$6*Mapping!$J$20+AV8/AV$6*Mapping!$J$21+AW8/AW$6*Mapping!$J$22+AX8/AX$6*Mapping!$J$23)/SUM(Mapping!$J$15:$J$23),"")</f>
        <v/>
      </c>
      <c r="BL8" s="64">
        <f>IFERROR((AP8/AP$6*Mapping!$K$15+AQ8/AQ$6*Mapping!$K$16+AR8/AR$6*Mapping!$K$17+AS8/AS$6*Mapping!$K$18+AT8/AT$6*Mapping!$K$19+AU8/AU$6*Mapping!$K$20+AV8/AV$6*Mapping!$K$21+AW8/AW$6*Mapping!$K$22+AX8/AX$6*Mapping!$K$23)/SUM(Mapping!$K$15:$K$23),"")</f>
        <v/>
      </c>
      <c r="BM8" s="64">
        <f>IFERROR((AP8/AP$6*Mapping!$L$15+AQ8/AQ$6*Mapping!$L$16+AR8/AR$6*Mapping!$L$17+AS8/AS$6*Mapping!$L$18+AT8/AT$6*Mapping!$L$19+AU8/AU$6*Mapping!$L$20+AV8/AV$6*Mapping!$L$21+AW8/AW$6*Mapping!$L$22+AX8/AX$6*Mapping!$L$23)/SUM(Mapping!$L$15:$L$23),"")</f>
        <v/>
      </c>
      <c r="BN8" s="64">
        <f>IFERROR((AP8/AP$6*Mapping!$M$15+AQ8/AQ$6*Mapping!$M$16+AR8/AR$6*Mapping!$M$17+AS8/AS$6*Mapping!$M$18+AT8/AT$6*Mapping!$M$19+AU8/AU$6*Mapping!$M$20+AV8/AV$6*Mapping!$M$21+AW8/AW$6*Mapping!$M$22+AX8/AX$6*Mapping!$M$23)/SUM(Mapping!$M$15:$M$23),"")</f>
        <v/>
      </c>
      <c r="BO8" s="64">
        <f>IFERROR((AP8/AP$6*Mapping!$N$15+AQ8/AQ$6*Mapping!$N$16+AR8/AR$6*Mapping!$N$17+AS8/AS$6*Mapping!$N$18+AT8/AT$6*Mapping!$N$19+AU8/AU$6*Mapping!$N$20+AV8/AV$6*Mapping!$N$21+AW8/AW$6*Mapping!$N$22+AX8/AX$6*Mapping!$N$23)/SUM(Mapping!$N$15:$N$23),"")</f>
        <v/>
      </c>
      <c r="BP8" s="64">
        <f>IFERROR((AP8/AP$6*Mapping!$O$15+AQ8/AQ$6*Mapping!$O$16+AR8/AR$6*Mapping!$O$17+AS8/AS$6*Mapping!$O$18+AT8/AT$6*Mapping!$O$19+AU8/AU$6*Mapping!$O$20+AV8/AV$6*Mapping!$O$21+AW8/AW$6*Mapping!$O$22+AX8/AX$6*Mapping!$O$23)/SUM(Mapping!$O$15:$O$23),"")</f>
        <v/>
      </c>
      <c r="BQ8" s="64">
        <f>IFERROR((AP8/AP$6*Mapping!$P$15+AQ8/AQ$6*Mapping!$P$16+AR8/AR$6*Mapping!$P$17+AS8/AS$6*Mapping!$P$18+AT8/AT$6*Mapping!$P$19+AU8/AU$6*Mapping!$P$20+AV8/AV$6*Mapping!$P$21+AW8/AW$6*Mapping!$P$22+AX8/AX$6*Mapping!$P$23)/SUM(Mapping!$P$15:$P$23),"")</f>
        <v/>
      </c>
      <c r="BR8" s="65">
        <f>IF(BA8="","",BA8+N(AS8)/10000)</f>
        <v/>
      </c>
    </row>
    <row r="9" ht="30" customHeight="1">
      <c r="A9" s="28" t="n">
        <v>3</v>
      </c>
      <c r="B9" s="29" t="inlineStr">
        <is>
          <t>5th Sem - A</t>
        </is>
      </c>
      <c r="C9" s="29">
        <f>IFERROR(INDEX('5A Intra'!$C$7:$C$26,MATCH(3,'5A Intra'!$BC$7:$BC$26,0))&amp;"","")</f>
        <v/>
      </c>
      <c r="D9" s="6">
        <f>IFERROR(INDEX('5A Intra'!$D$7:$D$26,MATCH(3,'5A Intra'!$BC$7:$BC$26,0))&amp;"","")</f>
        <v/>
      </c>
      <c r="E9" s="6">
        <f>IFERROR(INDEX('5A Intra'!$E$7:$E$26,MATCH(3,'5A Intra'!$BC$7:$BC$26,0))&amp;"","")</f>
        <v/>
      </c>
      <c r="F9" s="29">
        <f>IFERROR(INDEX('5A Intra'!$F$7:$F$26,MATCH(3,'5A Intra'!$BC$7:$BC$26,0))&amp;"","")</f>
        <v/>
      </c>
      <c r="G9" s="29">
        <f>IFERROR(INDEX('5A Intra'!$G$7:$G$26,MATCH(3,'5A Intra'!$BC$7:$BC$26,0))&amp;"","")</f>
        <v/>
      </c>
      <c r="H9" s="6">
        <f>IFERROR(INDEX('5A Intra'!$H$7:$H$26,MATCH(3,'5A Intra'!$BC$7:$BC$26,0))&amp;"","")</f>
        <v/>
      </c>
      <c r="I9" s="29" t="n"/>
      <c r="J9" s="29" t="n"/>
      <c r="K9" s="29" t="n"/>
      <c r="L9" s="29" t="n"/>
      <c r="M9" s="29" t="n"/>
      <c r="N9" s="29" t="n"/>
      <c r="O9" s="29" t="n"/>
      <c r="P9" s="29" t="n"/>
      <c r="Q9" s="29" t="n"/>
      <c r="R9" s="29" t="n"/>
      <c r="S9" s="29" t="n"/>
      <c r="T9" s="29" t="n"/>
      <c r="U9" s="29" t="n"/>
      <c r="V9" s="29" t="n"/>
      <c r="W9" s="29" t="n"/>
      <c r="X9" s="29" t="n"/>
      <c r="Y9" s="29" t="n"/>
      <c r="Z9" s="29" t="n"/>
      <c r="AA9" s="29" t="n"/>
      <c r="AB9" s="29" t="n"/>
      <c r="AC9" s="29" t="n"/>
      <c r="AD9" s="29" t="n"/>
      <c r="AE9" s="29" t="n"/>
      <c r="AF9" s="29" t="n"/>
      <c r="AG9" s="29" t="n"/>
      <c r="AH9" s="29" t="n"/>
      <c r="AI9" s="29" t="n"/>
      <c r="AJ9" s="29" t="n"/>
      <c r="AK9" s="29" t="n"/>
      <c r="AL9" s="29" t="n"/>
      <c r="AM9" s="29" t="n"/>
      <c r="AN9" s="29" t="n"/>
      <c r="AO9" s="29" t="n"/>
      <c r="AP9" s="59">
        <f>IF(COUNT(I9,T9,AE9)=0,"",AVERAGE(I9,T9,AE9))</f>
        <v/>
      </c>
      <c r="AQ9" s="59">
        <f>IF(COUNT(J9,U9,AF9)=0,"",AVERAGE(J9,U9,AF9))</f>
        <v/>
      </c>
      <c r="AR9" s="59">
        <f>IF(COUNT(K9,V9,AG9)=0,"",AVERAGE(K9,V9,AG9))</f>
        <v/>
      </c>
      <c r="AS9" s="59">
        <f>IF(COUNT(L9,W9,AH9)=0,"",AVERAGE(L9,W9,AH9))</f>
        <v/>
      </c>
      <c r="AT9" s="59">
        <f>IF(COUNT(M9,X9,AI9)=0,"",AVERAGE(M9,X9,AI9))</f>
        <v/>
      </c>
      <c r="AU9" s="59">
        <f>IF(COUNT(N9,Y9,AJ9)=0,"",AVERAGE(N9,Y9,AJ9))</f>
        <v/>
      </c>
      <c r="AV9" s="59">
        <f>IF(COUNT(O9,Z9,AK9)=0,"",AVERAGE(O9,Z9,AK9))</f>
        <v/>
      </c>
      <c r="AW9" s="59">
        <f>IF(COUNT(P9,AA9,AL9)=0,"",AVERAGE(P9,AA9,AL9))</f>
        <v/>
      </c>
      <c r="AX9" s="59">
        <f>IF(COUNT(Q9,AB9,AM9)=0,"",AVERAGE(Q9,AB9,AM9))</f>
        <v/>
      </c>
      <c r="AY9" s="60">
        <f>IF(OR($F9="",COUNT(R9,AC9,AN9)=0),"",AVERAGE(R9,AC9,AN9))</f>
        <v/>
      </c>
      <c r="AZ9" s="60">
        <f>IF(OR($G9="",$G9=$F9,COUNT(S9,AD9,AO9)=0),"",AVERAGE(S9,AD9,AO9))</f>
        <v/>
      </c>
      <c r="BA9" s="61">
        <f>IF(COUNT(AP9:AX9)=0,"",SUM(AP9:AX9))</f>
        <v/>
      </c>
      <c r="BB9" s="62">
        <f>IF(BA9="","",BA9/BA$6)</f>
        <v/>
      </c>
      <c r="BC9" s="14">
        <f>IF(BR9="","",COUNTIF($BR$7:$BR$16,"&gt;"&amp;BR9)+COUNTIF($BR$7:BR9,BR9))</f>
        <v/>
      </c>
      <c r="BD9" s="63">
        <f>IF(BC9="","",IF(BC9&lt;=Mapping!$C$11,"Shortlisted","Not shortlisted"))</f>
        <v/>
      </c>
      <c r="BE9" s="64">
        <f>IFERROR((AP9/AP$6*Mapping!$D$15+AQ9/AQ$6*Mapping!$D$16+AR9/AR$6*Mapping!$D$17+AS9/AS$6*Mapping!$D$18+AT9/AT$6*Mapping!$D$19+AU9/AU$6*Mapping!$D$20+AV9/AV$6*Mapping!$D$21+AW9/AW$6*Mapping!$D$22+AX9/AX$6*Mapping!$D$23)/SUM(Mapping!$D$15:$D$23),"")</f>
        <v/>
      </c>
      <c r="BF9" s="64">
        <f>IFERROR((AP9/AP$6*Mapping!$E$15+AQ9/AQ$6*Mapping!$E$16+AR9/AR$6*Mapping!$E$17+AS9/AS$6*Mapping!$E$18+AT9/AT$6*Mapping!$E$19+AU9/AU$6*Mapping!$E$20+AV9/AV$6*Mapping!$E$21+AW9/AW$6*Mapping!$E$22+AX9/AX$6*Mapping!$E$23)/SUM(Mapping!$E$15:$E$23),"")</f>
        <v/>
      </c>
      <c r="BG9" s="64">
        <f>IFERROR((AP9/AP$6*Mapping!$F$15+AQ9/AQ$6*Mapping!$F$16+AR9/AR$6*Mapping!$F$17+AS9/AS$6*Mapping!$F$18+AT9/AT$6*Mapping!$F$19+AU9/AU$6*Mapping!$F$20+AV9/AV$6*Mapping!$F$21+AW9/AW$6*Mapping!$F$22+AX9/AX$6*Mapping!$F$23)/SUM(Mapping!$F$15:$F$23),"")</f>
        <v/>
      </c>
      <c r="BH9" s="64">
        <f>IFERROR((AP9/AP$6*Mapping!$G$15+AQ9/AQ$6*Mapping!$G$16+AR9/AR$6*Mapping!$G$17+AS9/AS$6*Mapping!$G$18+AT9/AT$6*Mapping!$G$19+AU9/AU$6*Mapping!$G$20+AV9/AV$6*Mapping!$G$21+AW9/AW$6*Mapping!$G$22+AX9/AX$6*Mapping!$G$23)/SUM(Mapping!$G$15:$G$23),"")</f>
        <v/>
      </c>
      <c r="BI9" s="64">
        <f>IFERROR((AP9/AP$6*Mapping!$H$15+AQ9/AQ$6*Mapping!$H$16+AR9/AR$6*Mapping!$H$17+AS9/AS$6*Mapping!$H$18+AT9/AT$6*Mapping!$H$19+AU9/AU$6*Mapping!$H$20+AV9/AV$6*Mapping!$H$21+AW9/AW$6*Mapping!$H$22+AX9/AX$6*Mapping!$H$23)/SUM(Mapping!$H$15:$H$23),"")</f>
        <v/>
      </c>
      <c r="BJ9" s="64">
        <f>IFERROR((AP9/AP$6*Mapping!$I$15+AQ9/AQ$6*Mapping!$I$16+AR9/AR$6*Mapping!$I$17+AS9/AS$6*Mapping!$I$18+AT9/AT$6*Mapping!$I$19+AU9/AU$6*Mapping!$I$20+AV9/AV$6*Mapping!$I$21+AW9/AW$6*Mapping!$I$22+AX9/AX$6*Mapping!$I$23)/SUM(Mapping!$I$15:$I$23),"")</f>
        <v/>
      </c>
      <c r="BK9" s="64">
        <f>IFERROR((AP9/AP$6*Mapping!$J$15+AQ9/AQ$6*Mapping!$J$16+AR9/AR$6*Mapping!$J$17+AS9/AS$6*Mapping!$J$18+AT9/AT$6*Mapping!$J$19+AU9/AU$6*Mapping!$J$20+AV9/AV$6*Mapping!$J$21+AW9/AW$6*Mapping!$J$22+AX9/AX$6*Mapping!$J$23)/SUM(Mapping!$J$15:$J$23),"")</f>
        <v/>
      </c>
      <c r="BL9" s="64">
        <f>IFERROR((AP9/AP$6*Mapping!$K$15+AQ9/AQ$6*Mapping!$K$16+AR9/AR$6*Mapping!$K$17+AS9/AS$6*Mapping!$K$18+AT9/AT$6*Mapping!$K$19+AU9/AU$6*Mapping!$K$20+AV9/AV$6*Mapping!$K$21+AW9/AW$6*Mapping!$K$22+AX9/AX$6*Mapping!$K$23)/SUM(Mapping!$K$15:$K$23),"")</f>
        <v/>
      </c>
      <c r="BM9" s="64">
        <f>IFERROR((AP9/AP$6*Mapping!$L$15+AQ9/AQ$6*Mapping!$L$16+AR9/AR$6*Mapping!$L$17+AS9/AS$6*Mapping!$L$18+AT9/AT$6*Mapping!$L$19+AU9/AU$6*Mapping!$L$20+AV9/AV$6*Mapping!$L$21+AW9/AW$6*Mapping!$L$22+AX9/AX$6*Mapping!$L$23)/SUM(Mapping!$L$15:$L$23),"")</f>
        <v/>
      </c>
      <c r="BN9" s="64">
        <f>IFERROR((AP9/AP$6*Mapping!$M$15+AQ9/AQ$6*Mapping!$M$16+AR9/AR$6*Mapping!$M$17+AS9/AS$6*Mapping!$M$18+AT9/AT$6*Mapping!$M$19+AU9/AU$6*Mapping!$M$20+AV9/AV$6*Mapping!$M$21+AW9/AW$6*Mapping!$M$22+AX9/AX$6*Mapping!$M$23)/SUM(Mapping!$M$15:$M$23),"")</f>
        <v/>
      </c>
      <c r="BO9" s="64">
        <f>IFERROR((AP9/AP$6*Mapping!$N$15+AQ9/AQ$6*Mapping!$N$16+AR9/AR$6*Mapping!$N$17+AS9/AS$6*Mapping!$N$18+AT9/AT$6*Mapping!$N$19+AU9/AU$6*Mapping!$N$20+AV9/AV$6*Mapping!$N$21+AW9/AW$6*Mapping!$N$22+AX9/AX$6*Mapping!$N$23)/SUM(Mapping!$N$15:$N$23),"")</f>
        <v/>
      </c>
      <c r="BP9" s="64">
        <f>IFERROR((AP9/AP$6*Mapping!$O$15+AQ9/AQ$6*Mapping!$O$16+AR9/AR$6*Mapping!$O$17+AS9/AS$6*Mapping!$O$18+AT9/AT$6*Mapping!$O$19+AU9/AU$6*Mapping!$O$20+AV9/AV$6*Mapping!$O$21+AW9/AW$6*Mapping!$O$22+AX9/AX$6*Mapping!$O$23)/SUM(Mapping!$O$15:$O$23),"")</f>
        <v/>
      </c>
      <c r="BQ9" s="64">
        <f>IFERROR((AP9/AP$6*Mapping!$P$15+AQ9/AQ$6*Mapping!$P$16+AR9/AR$6*Mapping!$P$17+AS9/AS$6*Mapping!$P$18+AT9/AT$6*Mapping!$P$19+AU9/AU$6*Mapping!$P$20+AV9/AV$6*Mapping!$P$21+AW9/AW$6*Mapping!$P$22+AX9/AX$6*Mapping!$P$23)/SUM(Mapping!$P$15:$P$23),"")</f>
        <v/>
      </c>
      <c r="BR9" s="65">
        <f>IF(BA9="","",BA9+N(AS9)/10000)</f>
        <v/>
      </c>
    </row>
    <row r="10" ht="30" customHeight="1">
      <c r="A10" s="28" t="n">
        <v>4</v>
      </c>
      <c r="B10" s="29" t="inlineStr">
        <is>
          <t>5th Sem - A</t>
        </is>
      </c>
      <c r="C10" s="29">
        <f>IFERROR(INDEX('5A Intra'!$C$7:$C$26,MATCH(4,'5A Intra'!$BC$7:$BC$26,0))&amp;"","")</f>
        <v/>
      </c>
      <c r="D10" s="6">
        <f>IFERROR(INDEX('5A Intra'!$D$7:$D$26,MATCH(4,'5A Intra'!$BC$7:$BC$26,0))&amp;"","")</f>
        <v/>
      </c>
      <c r="E10" s="6">
        <f>IFERROR(INDEX('5A Intra'!$E$7:$E$26,MATCH(4,'5A Intra'!$BC$7:$BC$26,0))&amp;"","")</f>
        <v/>
      </c>
      <c r="F10" s="29">
        <f>IFERROR(INDEX('5A Intra'!$F$7:$F$26,MATCH(4,'5A Intra'!$BC$7:$BC$26,0))&amp;"","")</f>
        <v/>
      </c>
      <c r="G10" s="29">
        <f>IFERROR(INDEX('5A Intra'!$G$7:$G$26,MATCH(4,'5A Intra'!$BC$7:$BC$26,0))&amp;"","")</f>
        <v/>
      </c>
      <c r="H10" s="6">
        <f>IFERROR(INDEX('5A Intra'!$H$7:$H$26,MATCH(4,'5A Intra'!$BC$7:$BC$26,0))&amp;"","")</f>
        <v/>
      </c>
      <c r="I10" s="29" t="n"/>
      <c r="J10" s="29" t="n"/>
      <c r="K10" s="29" t="n"/>
      <c r="L10" s="29" t="n"/>
      <c r="M10" s="29" t="n"/>
      <c r="N10" s="29" t="n"/>
      <c r="O10" s="29" t="n"/>
      <c r="P10" s="29" t="n"/>
      <c r="Q10" s="29" t="n"/>
      <c r="R10" s="29" t="n"/>
      <c r="S10" s="29" t="n"/>
      <c r="T10" s="29" t="n"/>
      <c r="U10" s="29" t="n"/>
      <c r="V10" s="29" t="n"/>
      <c r="W10" s="29" t="n"/>
      <c r="X10" s="29" t="n"/>
      <c r="Y10" s="29" t="n"/>
      <c r="Z10" s="29" t="n"/>
      <c r="AA10" s="29" t="n"/>
      <c r="AB10" s="29" t="n"/>
      <c r="AC10" s="29" t="n"/>
      <c r="AD10" s="29" t="n"/>
      <c r="AE10" s="29" t="n"/>
      <c r="AF10" s="29" t="n"/>
      <c r="AG10" s="29" t="n"/>
      <c r="AH10" s="29" t="n"/>
      <c r="AI10" s="29" t="n"/>
      <c r="AJ10" s="29" t="n"/>
      <c r="AK10" s="29" t="n"/>
      <c r="AL10" s="29" t="n"/>
      <c r="AM10" s="29" t="n"/>
      <c r="AN10" s="29" t="n"/>
      <c r="AO10" s="29" t="n"/>
      <c r="AP10" s="59">
        <f>IF(COUNT(I10,T10,AE10)=0,"",AVERAGE(I10,T10,AE10))</f>
        <v/>
      </c>
      <c r="AQ10" s="59">
        <f>IF(COUNT(J10,U10,AF10)=0,"",AVERAGE(J10,U10,AF10))</f>
        <v/>
      </c>
      <c r="AR10" s="59">
        <f>IF(COUNT(K10,V10,AG10)=0,"",AVERAGE(K10,V10,AG10))</f>
        <v/>
      </c>
      <c r="AS10" s="59">
        <f>IF(COUNT(L10,W10,AH10)=0,"",AVERAGE(L10,W10,AH10))</f>
        <v/>
      </c>
      <c r="AT10" s="59">
        <f>IF(COUNT(M10,X10,AI10)=0,"",AVERAGE(M10,X10,AI10))</f>
        <v/>
      </c>
      <c r="AU10" s="59">
        <f>IF(COUNT(N10,Y10,AJ10)=0,"",AVERAGE(N10,Y10,AJ10))</f>
        <v/>
      </c>
      <c r="AV10" s="59">
        <f>IF(COUNT(O10,Z10,AK10)=0,"",AVERAGE(O10,Z10,AK10))</f>
        <v/>
      </c>
      <c r="AW10" s="59">
        <f>IF(COUNT(P10,AA10,AL10)=0,"",AVERAGE(P10,AA10,AL10))</f>
        <v/>
      </c>
      <c r="AX10" s="59">
        <f>IF(COUNT(Q10,AB10,AM10)=0,"",AVERAGE(Q10,AB10,AM10))</f>
        <v/>
      </c>
      <c r="AY10" s="60">
        <f>IF(OR($F10="",COUNT(R10,AC10,AN10)=0),"",AVERAGE(R10,AC10,AN10))</f>
        <v/>
      </c>
      <c r="AZ10" s="60">
        <f>IF(OR($G10="",$G10=$F10,COUNT(S10,AD10,AO10)=0),"",AVERAGE(S10,AD10,AO10))</f>
        <v/>
      </c>
      <c r="BA10" s="61">
        <f>IF(COUNT(AP10:AX10)=0,"",SUM(AP10:AX10))</f>
        <v/>
      </c>
      <c r="BB10" s="62">
        <f>IF(BA10="","",BA10/BA$6)</f>
        <v/>
      </c>
      <c r="BC10" s="14">
        <f>IF(BR10="","",COUNTIF($BR$7:$BR$16,"&gt;"&amp;BR10)+COUNTIF($BR$7:BR10,BR10))</f>
        <v/>
      </c>
      <c r="BD10" s="63">
        <f>IF(BC10="","",IF(BC10&lt;=Mapping!$C$11,"Shortlisted","Not shortlisted"))</f>
        <v/>
      </c>
      <c r="BE10" s="64">
        <f>IFERROR((AP10/AP$6*Mapping!$D$15+AQ10/AQ$6*Mapping!$D$16+AR10/AR$6*Mapping!$D$17+AS10/AS$6*Mapping!$D$18+AT10/AT$6*Mapping!$D$19+AU10/AU$6*Mapping!$D$20+AV10/AV$6*Mapping!$D$21+AW10/AW$6*Mapping!$D$22+AX10/AX$6*Mapping!$D$23)/SUM(Mapping!$D$15:$D$23),"")</f>
        <v/>
      </c>
      <c r="BF10" s="64">
        <f>IFERROR((AP10/AP$6*Mapping!$E$15+AQ10/AQ$6*Mapping!$E$16+AR10/AR$6*Mapping!$E$17+AS10/AS$6*Mapping!$E$18+AT10/AT$6*Mapping!$E$19+AU10/AU$6*Mapping!$E$20+AV10/AV$6*Mapping!$E$21+AW10/AW$6*Mapping!$E$22+AX10/AX$6*Mapping!$E$23)/SUM(Mapping!$E$15:$E$23),"")</f>
        <v/>
      </c>
      <c r="BG10" s="64">
        <f>IFERROR((AP10/AP$6*Mapping!$F$15+AQ10/AQ$6*Mapping!$F$16+AR10/AR$6*Mapping!$F$17+AS10/AS$6*Mapping!$F$18+AT10/AT$6*Mapping!$F$19+AU10/AU$6*Mapping!$F$20+AV10/AV$6*Mapping!$F$21+AW10/AW$6*Mapping!$F$22+AX10/AX$6*Mapping!$F$23)/SUM(Mapping!$F$15:$F$23),"")</f>
        <v/>
      </c>
      <c r="BH10" s="64">
        <f>IFERROR((AP10/AP$6*Mapping!$G$15+AQ10/AQ$6*Mapping!$G$16+AR10/AR$6*Mapping!$G$17+AS10/AS$6*Mapping!$G$18+AT10/AT$6*Mapping!$G$19+AU10/AU$6*Mapping!$G$20+AV10/AV$6*Mapping!$G$21+AW10/AW$6*Mapping!$G$22+AX10/AX$6*Mapping!$G$23)/SUM(Mapping!$G$15:$G$23),"")</f>
        <v/>
      </c>
      <c r="BI10" s="64">
        <f>IFERROR((AP10/AP$6*Mapping!$H$15+AQ10/AQ$6*Mapping!$H$16+AR10/AR$6*Mapping!$H$17+AS10/AS$6*Mapping!$H$18+AT10/AT$6*Mapping!$H$19+AU10/AU$6*Mapping!$H$20+AV10/AV$6*Mapping!$H$21+AW10/AW$6*Mapping!$H$22+AX10/AX$6*Mapping!$H$23)/SUM(Mapping!$H$15:$H$23),"")</f>
        <v/>
      </c>
      <c r="BJ10" s="64">
        <f>IFERROR((AP10/AP$6*Mapping!$I$15+AQ10/AQ$6*Mapping!$I$16+AR10/AR$6*Mapping!$I$17+AS10/AS$6*Mapping!$I$18+AT10/AT$6*Mapping!$I$19+AU10/AU$6*Mapping!$I$20+AV10/AV$6*Mapping!$I$21+AW10/AW$6*Mapping!$I$22+AX10/AX$6*Mapping!$I$23)/SUM(Mapping!$I$15:$I$23),"")</f>
        <v/>
      </c>
      <c r="BK10" s="64">
        <f>IFERROR((AP10/AP$6*Mapping!$J$15+AQ10/AQ$6*Mapping!$J$16+AR10/AR$6*Mapping!$J$17+AS10/AS$6*Mapping!$J$18+AT10/AT$6*Mapping!$J$19+AU10/AU$6*Mapping!$J$20+AV10/AV$6*Mapping!$J$21+AW10/AW$6*Mapping!$J$22+AX10/AX$6*Mapping!$J$23)/SUM(Mapping!$J$15:$J$23),"")</f>
        <v/>
      </c>
      <c r="BL10" s="64">
        <f>IFERROR((AP10/AP$6*Mapping!$K$15+AQ10/AQ$6*Mapping!$K$16+AR10/AR$6*Mapping!$K$17+AS10/AS$6*Mapping!$K$18+AT10/AT$6*Mapping!$K$19+AU10/AU$6*Mapping!$K$20+AV10/AV$6*Mapping!$K$21+AW10/AW$6*Mapping!$K$22+AX10/AX$6*Mapping!$K$23)/SUM(Mapping!$K$15:$K$23),"")</f>
        <v/>
      </c>
      <c r="BM10" s="64">
        <f>IFERROR((AP10/AP$6*Mapping!$L$15+AQ10/AQ$6*Mapping!$L$16+AR10/AR$6*Mapping!$L$17+AS10/AS$6*Mapping!$L$18+AT10/AT$6*Mapping!$L$19+AU10/AU$6*Mapping!$L$20+AV10/AV$6*Mapping!$L$21+AW10/AW$6*Mapping!$L$22+AX10/AX$6*Mapping!$L$23)/SUM(Mapping!$L$15:$L$23),"")</f>
        <v/>
      </c>
      <c r="BN10" s="64">
        <f>IFERROR((AP10/AP$6*Mapping!$M$15+AQ10/AQ$6*Mapping!$M$16+AR10/AR$6*Mapping!$M$17+AS10/AS$6*Mapping!$M$18+AT10/AT$6*Mapping!$M$19+AU10/AU$6*Mapping!$M$20+AV10/AV$6*Mapping!$M$21+AW10/AW$6*Mapping!$M$22+AX10/AX$6*Mapping!$M$23)/SUM(Mapping!$M$15:$M$23),"")</f>
        <v/>
      </c>
      <c r="BO10" s="64">
        <f>IFERROR((AP10/AP$6*Mapping!$N$15+AQ10/AQ$6*Mapping!$N$16+AR10/AR$6*Mapping!$N$17+AS10/AS$6*Mapping!$N$18+AT10/AT$6*Mapping!$N$19+AU10/AU$6*Mapping!$N$20+AV10/AV$6*Mapping!$N$21+AW10/AW$6*Mapping!$N$22+AX10/AX$6*Mapping!$N$23)/SUM(Mapping!$N$15:$N$23),"")</f>
        <v/>
      </c>
      <c r="BP10" s="64">
        <f>IFERROR((AP10/AP$6*Mapping!$O$15+AQ10/AQ$6*Mapping!$O$16+AR10/AR$6*Mapping!$O$17+AS10/AS$6*Mapping!$O$18+AT10/AT$6*Mapping!$O$19+AU10/AU$6*Mapping!$O$20+AV10/AV$6*Mapping!$O$21+AW10/AW$6*Mapping!$O$22+AX10/AX$6*Mapping!$O$23)/SUM(Mapping!$O$15:$O$23),"")</f>
        <v/>
      </c>
      <c r="BQ10" s="64">
        <f>IFERROR((AP10/AP$6*Mapping!$P$15+AQ10/AQ$6*Mapping!$P$16+AR10/AR$6*Mapping!$P$17+AS10/AS$6*Mapping!$P$18+AT10/AT$6*Mapping!$P$19+AU10/AU$6*Mapping!$P$20+AV10/AV$6*Mapping!$P$21+AW10/AW$6*Mapping!$P$22+AX10/AX$6*Mapping!$P$23)/SUM(Mapping!$P$15:$P$23),"")</f>
        <v/>
      </c>
      <c r="BR10" s="65">
        <f>IF(BA10="","",BA10+N(AS10)/10000)</f>
        <v/>
      </c>
    </row>
    <row r="11" ht="30" customHeight="1">
      <c r="A11" s="28" t="n">
        <v>5</v>
      </c>
      <c r="B11" s="29" t="inlineStr">
        <is>
          <t>5th Sem - A</t>
        </is>
      </c>
      <c r="C11" s="29">
        <f>IFERROR(INDEX('5A Intra'!$C$7:$C$26,MATCH(5,'5A Intra'!$BC$7:$BC$26,0))&amp;"","")</f>
        <v/>
      </c>
      <c r="D11" s="6">
        <f>IFERROR(INDEX('5A Intra'!$D$7:$D$26,MATCH(5,'5A Intra'!$BC$7:$BC$26,0))&amp;"","")</f>
        <v/>
      </c>
      <c r="E11" s="6">
        <f>IFERROR(INDEX('5A Intra'!$E$7:$E$26,MATCH(5,'5A Intra'!$BC$7:$BC$26,0))&amp;"","")</f>
        <v/>
      </c>
      <c r="F11" s="29">
        <f>IFERROR(INDEX('5A Intra'!$F$7:$F$26,MATCH(5,'5A Intra'!$BC$7:$BC$26,0))&amp;"","")</f>
        <v/>
      </c>
      <c r="G11" s="29">
        <f>IFERROR(INDEX('5A Intra'!$G$7:$G$26,MATCH(5,'5A Intra'!$BC$7:$BC$26,0))&amp;"","")</f>
        <v/>
      </c>
      <c r="H11" s="6">
        <f>IFERROR(INDEX('5A Intra'!$H$7:$H$26,MATCH(5,'5A Intra'!$BC$7:$BC$26,0))&amp;"","")</f>
        <v/>
      </c>
      <c r="I11" s="29" t="n"/>
      <c r="J11" s="29" t="n"/>
      <c r="K11" s="29" t="n"/>
      <c r="L11" s="29" t="n"/>
      <c r="M11" s="29" t="n"/>
      <c r="N11" s="29" t="n"/>
      <c r="O11" s="29" t="n"/>
      <c r="P11" s="29" t="n"/>
      <c r="Q11" s="29" t="n"/>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59">
        <f>IF(COUNT(I11,T11,AE11)=0,"",AVERAGE(I11,T11,AE11))</f>
        <v/>
      </c>
      <c r="AQ11" s="59">
        <f>IF(COUNT(J11,U11,AF11)=0,"",AVERAGE(J11,U11,AF11))</f>
        <v/>
      </c>
      <c r="AR11" s="59">
        <f>IF(COUNT(K11,V11,AG11)=0,"",AVERAGE(K11,V11,AG11))</f>
        <v/>
      </c>
      <c r="AS11" s="59">
        <f>IF(COUNT(L11,W11,AH11)=0,"",AVERAGE(L11,W11,AH11))</f>
        <v/>
      </c>
      <c r="AT11" s="59">
        <f>IF(COUNT(M11,X11,AI11)=0,"",AVERAGE(M11,X11,AI11))</f>
        <v/>
      </c>
      <c r="AU11" s="59">
        <f>IF(COUNT(N11,Y11,AJ11)=0,"",AVERAGE(N11,Y11,AJ11))</f>
        <v/>
      </c>
      <c r="AV11" s="59">
        <f>IF(COUNT(O11,Z11,AK11)=0,"",AVERAGE(O11,Z11,AK11))</f>
        <v/>
      </c>
      <c r="AW11" s="59">
        <f>IF(COUNT(P11,AA11,AL11)=0,"",AVERAGE(P11,AA11,AL11))</f>
        <v/>
      </c>
      <c r="AX11" s="59">
        <f>IF(COUNT(Q11,AB11,AM11)=0,"",AVERAGE(Q11,AB11,AM11))</f>
        <v/>
      </c>
      <c r="AY11" s="60">
        <f>IF(OR($F11="",COUNT(R11,AC11,AN11)=0),"",AVERAGE(R11,AC11,AN11))</f>
        <v/>
      </c>
      <c r="AZ11" s="60">
        <f>IF(OR($G11="",$G11=$F11,COUNT(S11,AD11,AO11)=0),"",AVERAGE(S11,AD11,AO11))</f>
        <v/>
      </c>
      <c r="BA11" s="61">
        <f>IF(COUNT(AP11:AX11)=0,"",SUM(AP11:AX11))</f>
        <v/>
      </c>
      <c r="BB11" s="62">
        <f>IF(BA11="","",BA11/BA$6)</f>
        <v/>
      </c>
      <c r="BC11" s="14">
        <f>IF(BR11="","",COUNTIF($BR$7:$BR$16,"&gt;"&amp;BR11)+COUNTIF($BR$7:BR11,BR11))</f>
        <v/>
      </c>
      <c r="BD11" s="63">
        <f>IF(BC11="","",IF(BC11&lt;=Mapping!$C$11,"Shortlisted","Not shortlisted"))</f>
        <v/>
      </c>
      <c r="BE11" s="64">
        <f>IFERROR((AP11/AP$6*Mapping!$D$15+AQ11/AQ$6*Mapping!$D$16+AR11/AR$6*Mapping!$D$17+AS11/AS$6*Mapping!$D$18+AT11/AT$6*Mapping!$D$19+AU11/AU$6*Mapping!$D$20+AV11/AV$6*Mapping!$D$21+AW11/AW$6*Mapping!$D$22+AX11/AX$6*Mapping!$D$23)/SUM(Mapping!$D$15:$D$23),"")</f>
        <v/>
      </c>
      <c r="BF11" s="64">
        <f>IFERROR((AP11/AP$6*Mapping!$E$15+AQ11/AQ$6*Mapping!$E$16+AR11/AR$6*Mapping!$E$17+AS11/AS$6*Mapping!$E$18+AT11/AT$6*Mapping!$E$19+AU11/AU$6*Mapping!$E$20+AV11/AV$6*Mapping!$E$21+AW11/AW$6*Mapping!$E$22+AX11/AX$6*Mapping!$E$23)/SUM(Mapping!$E$15:$E$23),"")</f>
        <v/>
      </c>
      <c r="BG11" s="64">
        <f>IFERROR((AP11/AP$6*Mapping!$F$15+AQ11/AQ$6*Mapping!$F$16+AR11/AR$6*Mapping!$F$17+AS11/AS$6*Mapping!$F$18+AT11/AT$6*Mapping!$F$19+AU11/AU$6*Mapping!$F$20+AV11/AV$6*Mapping!$F$21+AW11/AW$6*Mapping!$F$22+AX11/AX$6*Mapping!$F$23)/SUM(Mapping!$F$15:$F$23),"")</f>
        <v/>
      </c>
      <c r="BH11" s="64">
        <f>IFERROR((AP11/AP$6*Mapping!$G$15+AQ11/AQ$6*Mapping!$G$16+AR11/AR$6*Mapping!$G$17+AS11/AS$6*Mapping!$G$18+AT11/AT$6*Mapping!$G$19+AU11/AU$6*Mapping!$G$20+AV11/AV$6*Mapping!$G$21+AW11/AW$6*Mapping!$G$22+AX11/AX$6*Mapping!$G$23)/SUM(Mapping!$G$15:$G$23),"")</f>
        <v/>
      </c>
      <c r="BI11" s="64">
        <f>IFERROR((AP11/AP$6*Mapping!$H$15+AQ11/AQ$6*Mapping!$H$16+AR11/AR$6*Mapping!$H$17+AS11/AS$6*Mapping!$H$18+AT11/AT$6*Mapping!$H$19+AU11/AU$6*Mapping!$H$20+AV11/AV$6*Mapping!$H$21+AW11/AW$6*Mapping!$H$22+AX11/AX$6*Mapping!$H$23)/SUM(Mapping!$H$15:$H$23),"")</f>
        <v/>
      </c>
      <c r="BJ11" s="64">
        <f>IFERROR((AP11/AP$6*Mapping!$I$15+AQ11/AQ$6*Mapping!$I$16+AR11/AR$6*Mapping!$I$17+AS11/AS$6*Mapping!$I$18+AT11/AT$6*Mapping!$I$19+AU11/AU$6*Mapping!$I$20+AV11/AV$6*Mapping!$I$21+AW11/AW$6*Mapping!$I$22+AX11/AX$6*Mapping!$I$23)/SUM(Mapping!$I$15:$I$23),"")</f>
        <v/>
      </c>
      <c r="BK11" s="64">
        <f>IFERROR((AP11/AP$6*Mapping!$J$15+AQ11/AQ$6*Mapping!$J$16+AR11/AR$6*Mapping!$J$17+AS11/AS$6*Mapping!$J$18+AT11/AT$6*Mapping!$J$19+AU11/AU$6*Mapping!$J$20+AV11/AV$6*Mapping!$J$21+AW11/AW$6*Mapping!$J$22+AX11/AX$6*Mapping!$J$23)/SUM(Mapping!$J$15:$J$23),"")</f>
        <v/>
      </c>
      <c r="BL11" s="64">
        <f>IFERROR((AP11/AP$6*Mapping!$K$15+AQ11/AQ$6*Mapping!$K$16+AR11/AR$6*Mapping!$K$17+AS11/AS$6*Mapping!$K$18+AT11/AT$6*Mapping!$K$19+AU11/AU$6*Mapping!$K$20+AV11/AV$6*Mapping!$K$21+AW11/AW$6*Mapping!$K$22+AX11/AX$6*Mapping!$K$23)/SUM(Mapping!$K$15:$K$23),"")</f>
        <v/>
      </c>
      <c r="BM11" s="64">
        <f>IFERROR((AP11/AP$6*Mapping!$L$15+AQ11/AQ$6*Mapping!$L$16+AR11/AR$6*Mapping!$L$17+AS11/AS$6*Mapping!$L$18+AT11/AT$6*Mapping!$L$19+AU11/AU$6*Mapping!$L$20+AV11/AV$6*Mapping!$L$21+AW11/AW$6*Mapping!$L$22+AX11/AX$6*Mapping!$L$23)/SUM(Mapping!$L$15:$L$23),"")</f>
        <v/>
      </c>
      <c r="BN11" s="64">
        <f>IFERROR((AP11/AP$6*Mapping!$M$15+AQ11/AQ$6*Mapping!$M$16+AR11/AR$6*Mapping!$M$17+AS11/AS$6*Mapping!$M$18+AT11/AT$6*Mapping!$M$19+AU11/AU$6*Mapping!$M$20+AV11/AV$6*Mapping!$M$21+AW11/AW$6*Mapping!$M$22+AX11/AX$6*Mapping!$M$23)/SUM(Mapping!$M$15:$M$23),"")</f>
        <v/>
      </c>
      <c r="BO11" s="64">
        <f>IFERROR((AP11/AP$6*Mapping!$N$15+AQ11/AQ$6*Mapping!$N$16+AR11/AR$6*Mapping!$N$17+AS11/AS$6*Mapping!$N$18+AT11/AT$6*Mapping!$N$19+AU11/AU$6*Mapping!$N$20+AV11/AV$6*Mapping!$N$21+AW11/AW$6*Mapping!$N$22+AX11/AX$6*Mapping!$N$23)/SUM(Mapping!$N$15:$N$23),"")</f>
        <v/>
      </c>
      <c r="BP11" s="64">
        <f>IFERROR((AP11/AP$6*Mapping!$O$15+AQ11/AQ$6*Mapping!$O$16+AR11/AR$6*Mapping!$O$17+AS11/AS$6*Mapping!$O$18+AT11/AT$6*Mapping!$O$19+AU11/AU$6*Mapping!$O$20+AV11/AV$6*Mapping!$O$21+AW11/AW$6*Mapping!$O$22+AX11/AX$6*Mapping!$O$23)/SUM(Mapping!$O$15:$O$23),"")</f>
        <v/>
      </c>
      <c r="BQ11" s="64">
        <f>IFERROR((AP11/AP$6*Mapping!$P$15+AQ11/AQ$6*Mapping!$P$16+AR11/AR$6*Mapping!$P$17+AS11/AS$6*Mapping!$P$18+AT11/AT$6*Mapping!$P$19+AU11/AU$6*Mapping!$P$20+AV11/AV$6*Mapping!$P$21+AW11/AW$6*Mapping!$P$22+AX11/AX$6*Mapping!$P$23)/SUM(Mapping!$P$15:$P$23),"")</f>
        <v/>
      </c>
      <c r="BR11" s="65">
        <f>IF(BA11="","",BA11+N(AS11)/10000)</f>
        <v/>
      </c>
    </row>
    <row r="12" ht="30" customHeight="1">
      <c r="A12" s="28" t="n">
        <v>6</v>
      </c>
      <c r="B12" s="29" t="inlineStr">
        <is>
          <t>5th Sem - B</t>
        </is>
      </c>
      <c r="C12" s="29">
        <f>IFERROR(INDEX('5B Intra'!$C$7:$C$26,MATCH(1,'5B Intra'!$BC$7:$BC$26,0))&amp;"","")</f>
        <v/>
      </c>
      <c r="D12" s="6">
        <f>IFERROR(INDEX('5B Intra'!$D$7:$D$26,MATCH(1,'5B Intra'!$BC$7:$BC$26,0))&amp;"","")</f>
        <v/>
      </c>
      <c r="E12" s="6">
        <f>IFERROR(INDEX('5B Intra'!$E$7:$E$26,MATCH(1,'5B Intra'!$BC$7:$BC$26,0))&amp;"","")</f>
        <v/>
      </c>
      <c r="F12" s="29">
        <f>IFERROR(INDEX('5B Intra'!$F$7:$F$26,MATCH(1,'5B Intra'!$BC$7:$BC$26,0))&amp;"","")</f>
        <v/>
      </c>
      <c r="G12" s="29">
        <f>IFERROR(INDEX('5B Intra'!$G$7:$G$26,MATCH(1,'5B Intra'!$BC$7:$BC$26,0))&amp;"","")</f>
        <v/>
      </c>
      <c r="H12" s="6">
        <f>IFERROR(INDEX('5B Intra'!$H$7:$H$26,MATCH(1,'5B Intra'!$BC$7:$BC$26,0))&amp;"","")</f>
        <v/>
      </c>
      <c r="I12" s="29" t="n"/>
      <c r="J12" s="29" t="n"/>
      <c r="K12" s="29" t="n"/>
      <c r="L12" s="29" t="n"/>
      <c r="M12" s="29" t="n"/>
      <c r="N12" s="29" t="n"/>
      <c r="O12" s="29" t="n"/>
      <c r="P12" s="29" t="n"/>
      <c r="Q12" s="29" t="n"/>
      <c r="R12" s="29" t="n"/>
      <c r="S12" s="29" t="n"/>
      <c r="T12" s="29" t="n"/>
      <c r="U12" s="29" t="n"/>
      <c r="V12" s="29" t="n"/>
      <c r="W12" s="29" t="n"/>
      <c r="X12" s="29" t="n"/>
      <c r="Y12" s="29" t="n"/>
      <c r="Z12" s="29" t="n"/>
      <c r="AA12" s="29" t="n"/>
      <c r="AB12" s="29" t="n"/>
      <c r="AC12" s="29" t="n"/>
      <c r="AD12" s="29" t="n"/>
      <c r="AE12" s="29" t="n"/>
      <c r="AF12" s="29" t="n"/>
      <c r="AG12" s="29" t="n"/>
      <c r="AH12" s="29" t="n"/>
      <c r="AI12" s="29" t="n"/>
      <c r="AJ12" s="29" t="n"/>
      <c r="AK12" s="29" t="n"/>
      <c r="AL12" s="29" t="n"/>
      <c r="AM12" s="29" t="n"/>
      <c r="AN12" s="29" t="n"/>
      <c r="AO12" s="29" t="n"/>
      <c r="AP12" s="59">
        <f>IF(COUNT(I12,T12,AE12)=0,"",AVERAGE(I12,T12,AE12))</f>
        <v/>
      </c>
      <c r="AQ12" s="59">
        <f>IF(COUNT(J12,U12,AF12)=0,"",AVERAGE(J12,U12,AF12))</f>
        <v/>
      </c>
      <c r="AR12" s="59">
        <f>IF(COUNT(K12,V12,AG12)=0,"",AVERAGE(K12,V12,AG12))</f>
        <v/>
      </c>
      <c r="AS12" s="59">
        <f>IF(COUNT(L12,W12,AH12)=0,"",AVERAGE(L12,W12,AH12))</f>
        <v/>
      </c>
      <c r="AT12" s="59">
        <f>IF(COUNT(M12,X12,AI12)=0,"",AVERAGE(M12,X12,AI12))</f>
        <v/>
      </c>
      <c r="AU12" s="59">
        <f>IF(COUNT(N12,Y12,AJ12)=0,"",AVERAGE(N12,Y12,AJ12))</f>
        <v/>
      </c>
      <c r="AV12" s="59">
        <f>IF(COUNT(O12,Z12,AK12)=0,"",AVERAGE(O12,Z12,AK12))</f>
        <v/>
      </c>
      <c r="AW12" s="59">
        <f>IF(COUNT(P12,AA12,AL12)=0,"",AVERAGE(P12,AA12,AL12))</f>
        <v/>
      </c>
      <c r="AX12" s="59">
        <f>IF(COUNT(Q12,AB12,AM12)=0,"",AVERAGE(Q12,AB12,AM12))</f>
        <v/>
      </c>
      <c r="AY12" s="60">
        <f>IF(OR($F12="",COUNT(R12,AC12,AN12)=0),"",AVERAGE(R12,AC12,AN12))</f>
        <v/>
      </c>
      <c r="AZ12" s="60">
        <f>IF(OR($G12="",$G12=$F12,COUNT(S12,AD12,AO12)=0),"",AVERAGE(S12,AD12,AO12))</f>
        <v/>
      </c>
      <c r="BA12" s="61">
        <f>IF(COUNT(AP12:AX12)=0,"",SUM(AP12:AX12))</f>
        <v/>
      </c>
      <c r="BB12" s="62">
        <f>IF(BA12="","",BA12/BA$6)</f>
        <v/>
      </c>
      <c r="BC12" s="14">
        <f>IF(BR12="","",COUNTIF($BR$7:$BR$16,"&gt;"&amp;BR12)+COUNTIF($BR$7:BR12,BR12))</f>
        <v/>
      </c>
      <c r="BD12" s="63">
        <f>IF(BC12="","",IF(BC12&lt;=Mapping!$C$11,"Shortlisted","Not shortlisted"))</f>
        <v/>
      </c>
      <c r="BE12" s="64">
        <f>IFERROR((AP12/AP$6*Mapping!$D$15+AQ12/AQ$6*Mapping!$D$16+AR12/AR$6*Mapping!$D$17+AS12/AS$6*Mapping!$D$18+AT12/AT$6*Mapping!$D$19+AU12/AU$6*Mapping!$D$20+AV12/AV$6*Mapping!$D$21+AW12/AW$6*Mapping!$D$22+AX12/AX$6*Mapping!$D$23)/SUM(Mapping!$D$15:$D$23),"")</f>
        <v/>
      </c>
      <c r="BF12" s="64">
        <f>IFERROR((AP12/AP$6*Mapping!$E$15+AQ12/AQ$6*Mapping!$E$16+AR12/AR$6*Mapping!$E$17+AS12/AS$6*Mapping!$E$18+AT12/AT$6*Mapping!$E$19+AU12/AU$6*Mapping!$E$20+AV12/AV$6*Mapping!$E$21+AW12/AW$6*Mapping!$E$22+AX12/AX$6*Mapping!$E$23)/SUM(Mapping!$E$15:$E$23),"")</f>
        <v/>
      </c>
      <c r="BG12" s="64">
        <f>IFERROR((AP12/AP$6*Mapping!$F$15+AQ12/AQ$6*Mapping!$F$16+AR12/AR$6*Mapping!$F$17+AS12/AS$6*Mapping!$F$18+AT12/AT$6*Mapping!$F$19+AU12/AU$6*Mapping!$F$20+AV12/AV$6*Mapping!$F$21+AW12/AW$6*Mapping!$F$22+AX12/AX$6*Mapping!$F$23)/SUM(Mapping!$F$15:$F$23),"")</f>
        <v/>
      </c>
      <c r="BH12" s="64">
        <f>IFERROR((AP12/AP$6*Mapping!$G$15+AQ12/AQ$6*Mapping!$G$16+AR12/AR$6*Mapping!$G$17+AS12/AS$6*Mapping!$G$18+AT12/AT$6*Mapping!$G$19+AU12/AU$6*Mapping!$G$20+AV12/AV$6*Mapping!$G$21+AW12/AW$6*Mapping!$G$22+AX12/AX$6*Mapping!$G$23)/SUM(Mapping!$G$15:$G$23),"")</f>
        <v/>
      </c>
      <c r="BI12" s="64">
        <f>IFERROR((AP12/AP$6*Mapping!$H$15+AQ12/AQ$6*Mapping!$H$16+AR12/AR$6*Mapping!$H$17+AS12/AS$6*Mapping!$H$18+AT12/AT$6*Mapping!$H$19+AU12/AU$6*Mapping!$H$20+AV12/AV$6*Mapping!$H$21+AW12/AW$6*Mapping!$H$22+AX12/AX$6*Mapping!$H$23)/SUM(Mapping!$H$15:$H$23),"")</f>
        <v/>
      </c>
      <c r="BJ12" s="64">
        <f>IFERROR((AP12/AP$6*Mapping!$I$15+AQ12/AQ$6*Mapping!$I$16+AR12/AR$6*Mapping!$I$17+AS12/AS$6*Mapping!$I$18+AT12/AT$6*Mapping!$I$19+AU12/AU$6*Mapping!$I$20+AV12/AV$6*Mapping!$I$21+AW12/AW$6*Mapping!$I$22+AX12/AX$6*Mapping!$I$23)/SUM(Mapping!$I$15:$I$23),"")</f>
        <v/>
      </c>
      <c r="BK12" s="64">
        <f>IFERROR((AP12/AP$6*Mapping!$J$15+AQ12/AQ$6*Mapping!$J$16+AR12/AR$6*Mapping!$J$17+AS12/AS$6*Mapping!$J$18+AT12/AT$6*Mapping!$J$19+AU12/AU$6*Mapping!$J$20+AV12/AV$6*Mapping!$J$21+AW12/AW$6*Mapping!$J$22+AX12/AX$6*Mapping!$J$23)/SUM(Mapping!$J$15:$J$23),"")</f>
        <v/>
      </c>
      <c r="BL12" s="64">
        <f>IFERROR((AP12/AP$6*Mapping!$K$15+AQ12/AQ$6*Mapping!$K$16+AR12/AR$6*Mapping!$K$17+AS12/AS$6*Mapping!$K$18+AT12/AT$6*Mapping!$K$19+AU12/AU$6*Mapping!$K$20+AV12/AV$6*Mapping!$K$21+AW12/AW$6*Mapping!$K$22+AX12/AX$6*Mapping!$K$23)/SUM(Mapping!$K$15:$K$23),"")</f>
        <v/>
      </c>
      <c r="BM12" s="64">
        <f>IFERROR((AP12/AP$6*Mapping!$L$15+AQ12/AQ$6*Mapping!$L$16+AR12/AR$6*Mapping!$L$17+AS12/AS$6*Mapping!$L$18+AT12/AT$6*Mapping!$L$19+AU12/AU$6*Mapping!$L$20+AV12/AV$6*Mapping!$L$21+AW12/AW$6*Mapping!$L$22+AX12/AX$6*Mapping!$L$23)/SUM(Mapping!$L$15:$L$23),"")</f>
        <v/>
      </c>
      <c r="BN12" s="64">
        <f>IFERROR((AP12/AP$6*Mapping!$M$15+AQ12/AQ$6*Mapping!$M$16+AR12/AR$6*Mapping!$M$17+AS12/AS$6*Mapping!$M$18+AT12/AT$6*Mapping!$M$19+AU12/AU$6*Mapping!$M$20+AV12/AV$6*Mapping!$M$21+AW12/AW$6*Mapping!$M$22+AX12/AX$6*Mapping!$M$23)/SUM(Mapping!$M$15:$M$23),"")</f>
        <v/>
      </c>
      <c r="BO12" s="64">
        <f>IFERROR((AP12/AP$6*Mapping!$N$15+AQ12/AQ$6*Mapping!$N$16+AR12/AR$6*Mapping!$N$17+AS12/AS$6*Mapping!$N$18+AT12/AT$6*Mapping!$N$19+AU12/AU$6*Mapping!$N$20+AV12/AV$6*Mapping!$N$21+AW12/AW$6*Mapping!$N$22+AX12/AX$6*Mapping!$N$23)/SUM(Mapping!$N$15:$N$23),"")</f>
        <v/>
      </c>
      <c r="BP12" s="64">
        <f>IFERROR((AP12/AP$6*Mapping!$O$15+AQ12/AQ$6*Mapping!$O$16+AR12/AR$6*Mapping!$O$17+AS12/AS$6*Mapping!$O$18+AT12/AT$6*Mapping!$O$19+AU12/AU$6*Mapping!$O$20+AV12/AV$6*Mapping!$O$21+AW12/AW$6*Mapping!$O$22+AX12/AX$6*Mapping!$O$23)/SUM(Mapping!$O$15:$O$23),"")</f>
        <v/>
      </c>
      <c r="BQ12" s="64">
        <f>IFERROR((AP12/AP$6*Mapping!$P$15+AQ12/AQ$6*Mapping!$P$16+AR12/AR$6*Mapping!$P$17+AS12/AS$6*Mapping!$P$18+AT12/AT$6*Mapping!$P$19+AU12/AU$6*Mapping!$P$20+AV12/AV$6*Mapping!$P$21+AW12/AW$6*Mapping!$P$22+AX12/AX$6*Mapping!$P$23)/SUM(Mapping!$P$15:$P$23),"")</f>
        <v/>
      </c>
      <c r="BR12" s="65">
        <f>IF(BA12="","",BA12+N(AS12)/10000)</f>
        <v/>
      </c>
    </row>
    <row r="13" ht="30" customHeight="1">
      <c r="A13" s="28" t="n">
        <v>7</v>
      </c>
      <c r="B13" s="29" t="inlineStr">
        <is>
          <t>5th Sem - B</t>
        </is>
      </c>
      <c r="C13" s="29">
        <f>IFERROR(INDEX('5B Intra'!$C$7:$C$26,MATCH(2,'5B Intra'!$BC$7:$BC$26,0))&amp;"","")</f>
        <v/>
      </c>
      <c r="D13" s="6">
        <f>IFERROR(INDEX('5B Intra'!$D$7:$D$26,MATCH(2,'5B Intra'!$BC$7:$BC$26,0))&amp;"","")</f>
        <v/>
      </c>
      <c r="E13" s="6">
        <f>IFERROR(INDEX('5B Intra'!$E$7:$E$26,MATCH(2,'5B Intra'!$BC$7:$BC$26,0))&amp;"","")</f>
        <v/>
      </c>
      <c r="F13" s="29">
        <f>IFERROR(INDEX('5B Intra'!$F$7:$F$26,MATCH(2,'5B Intra'!$BC$7:$BC$26,0))&amp;"","")</f>
        <v/>
      </c>
      <c r="G13" s="29">
        <f>IFERROR(INDEX('5B Intra'!$G$7:$G$26,MATCH(2,'5B Intra'!$BC$7:$BC$26,0))&amp;"","")</f>
        <v/>
      </c>
      <c r="H13" s="6">
        <f>IFERROR(INDEX('5B Intra'!$H$7:$H$26,MATCH(2,'5B Intra'!$BC$7:$BC$26,0))&amp;"","")</f>
        <v/>
      </c>
      <c r="I13" s="29" t="n"/>
      <c r="J13" s="29" t="n"/>
      <c r="K13" s="29" t="n"/>
      <c r="L13" s="29" t="n"/>
      <c r="M13" s="29" t="n"/>
      <c r="N13" s="29" t="n"/>
      <c r="O13" s="29" t="n"/>
      <c r="P13" s="29" t="n"/>
      <c r="Q13" s="29" t="n"/>
      <c r="R13" s="29" t="n"/>
      <c r="S13" s="29" t="n"/>
      <c r="T13" s="29" t="n"/>
      <c r="U13" s="29" t="n"/>
      <c r="V13" s="29" t="n"/>
      <c r="W13" s="29" t="n"/>
      <c r="X13" s="29" t="n"/>
      <c r="Y13" s="29" t="n"/>
      <c r="Z13" s="29" t="n"/>
      <c r="AA13" s="29" t="n"/>
      <c r="AB13" s="29" t="n"/>
      <c r="AC13" s="29" t="n"/>
      <c r="AD13" s="29" t="n"/>
      <c r="AE13" s="29" t="n"/>
      <c r="AF13" s="29" t="n"/>
      <c r="AG13" s="29" t="n"/>
      <c r="AH13" s="29" t="n"/>
      <c r="AI13" s="29" t="n"/>
      <c r="AJ13" s="29" t="n"/>
      <c r="AK13" s="29" t="n"/>
      <c r="AL13" s="29" t="n"/>
      <c r="AM13" s="29" t="n"/>
      <c r="AN13" s="29" t="n"/>
      <c r="AO13" s="29" t="n"/>
      <c r="AP13" s="59">
        <f>IF(COUNT(I13,T13,AE13)=0,"",AVERAGE(I13,T13,AE13))</f>
        <v/>
      </c>
      <c r="AQ13" s="59">
        <f>IF(COUNT(J13,U13,AF13)=0,"",AVERAGE(J13,U13,AF13))</f>
        <v/>
      </c>
      <c r="AR13" s="59">
        <f>IF(COUNT(K13,V13,AG13)=0,"",AVERAGE(K13,V13,AG13))</f>
        <v/>
      </c>
      <c r="AS13" s="59">
        <f>IF(COUNT(L13,W13,AH13)=0,"",AVERAGE(L13,W13,AH13))</f>
        <v/>
      </c>
      <c r="AT13" s="59">
        <f>IF(COUNT(M13,X13,AI13)=0,"",AVERAGE(M13,X13,AI13))</f>
        <v/>
      </c>
      <c r="AU13" s="59">
        <f>IF(COUNT(N13,Y13,AJ13)=0,"",AVERAGE(N13,Y13,AJ13))</f>
        <v/>
      </c>
      <c r="AV13" s="59">
        <f>IF(COUNT(O13,Z13,AK13)=0,"",AVERAGE(O13,Z13,AK13))</f>
        <v/>
      </c>
      <c r="AW13" s="59">
        <f>IF(COUNT(P13,AA13,AL13)=0,"",AVERAGE(P13,AA13,AL13))</f>
        <v/>
      </c>
      <c r="AX13" s="59">
        <f>IF(COUNT(Q13,AB13,AM13)=0,"",AVERAGE(Q13,AB13,AM13))</f>
        <v/>
      </c>
      <c r="AY13" s="60">
        <f>IF(OR($F13="",COUNT(R13,AC13,AN13)=0),"",AVERAGE(R13,AC13,AN13))</f>
        <v/>
      </c>
      <c r="AZ13" s="60">
        <f>IF(OR($G13="",$G13=$F13,COUNT(S13,AD13,AO13)=0),"",AVERAGE(S13,AD13,AO13))</f>
        <v/>
      </c>
      <c r="BA13" s="61">
        <f>IF(COUNT(AP13:AX13)=0,"",SUM(AP13:AX13))</f>
        <v/>
      </c>
      <c r="BB13" s="62">
        <f>IF(BA13="","",BA13/BA$6)</f>
        <v/>
      </c>
      <c r="BC13" s="14">
        <f>IF(BR13="","",COUNTIF($BR$7:$BR$16,"&gt;"&amp;BR13)+COUNTIF($BR$7:BR13,BR13))</f>
        <v/>
      </c>
      <c r="BD13" s="63">
        <f>IF(BC13="","",IF(BC13&lt;=Mapping!$C$11,"Shortlisted","Not shortlisted"))</f>
        <v/>
      </c>
      <c r="BE13" s="64">
        <f>IFERROR((AP13/AP$6*Mapping!$D$15+AQ13/AQ$6*Mapping!$D$16+AR13/AR$6*Mapping!$D$17+AS13/AS$6*Mapping!$D$18+AT13/AT$6*Mapping!$D$19+AU13/AU$6*Mapping!$D$20+AV13/AV$6*Mapping!$D$21+AW13/AW$6*Mapping!$D$22+AX13/AX$6*Mapping!$D$23)/SUM(Mapping!$D$15:$D$23),"")</f>
        <v/>
      </c>
      <c r="BF13" s="64">
        <f>IFERROR((AP13/AP$6*Mapping!$E$15+AQ13/AQ$6*Mapping!$E$16+AR13/AR$6*Mapping!$E$17+AS13/AS$6*Mapping!$E$18+AT13/AT$6*Mapping!$E$19+AU13/AU$6*Mapping!$E$20+AV13/AV$6*Mapping!$E$21+AW13/AW$6*Mapping!$E$22+AX13/AX$6*Mapping!$E$23)/SUM(Mapping!$E$15:$E$23),"")</f>
        <v/>
      </c>
      <c r="BG13" s="64">
        <f>IFERROR((AP13/AP$6*Mapping!$F$15+AQ13/AQ$6*Mapping!$F$16+AR13/AR$6*Mapping!$F$17+AS13/AS$6*Mapping!$F$18+AT13/AT$6*Mapping!$F$19+AU13/AU$6*Mapping!$F$20+AV13/AV$6*Mapping!$F$21+AW13/AW$6*Mapping!$F$22+AX13/AX$6*Mapping!$F$23)/SUM(Mapping!$F$15:$F$23),"")</f>
        <v/>
      </c>
      <c r="BH13" s="64">
        <f>IFERROR((AP13/AP$6*Mapping!$G$15+AQ13/AQ$6*Mapping!$G$16+AR13/AR$6*Mapping!$G$17+AS13/AS$6*Mapping!$G$18+AT13/AT$6*Mapping!$G$19+AU13/AU$6*Mapping!$G$20+AV13/AV$6*Mapping!$G$21+AW13/AW$6*Mapping!$G$22+AX13/AX$6*Mapping!$G$23)/SUM(Mapping!$G$15:$G$23),"")</f>
        <v/>
      </c>
      <c r="BI13" s="64">
        <f>IFERROR((AP13/AP$6*Mapping!$H$15+AQ13/AQ$6*Mapping!$H$16+AR13/AR$6*Mapping!$H$17+AS13/AS$6*Mapping!$H$18+AT13/AT$6*Mapping!$H$19+AU13/AU$6*Mapping!$H$20+AV13/AV$6*Mapping!$H$21+AW13/AW$6*Mapping!$H$22+AX13/AX$6*Mapping!$H$23)/SUM(Mapping!$H$15:$H$23),"")</f>
        <v/>
      </c>
      <c r="BJ13" s="64">
        <f>IFERROR((AP13/AP$6*Mapping!$I$15+AQ13/AQ$6*Mapping!$I$16+AR13/AR$6*Mapping!$I$17+AS13/AS$6*Mapping!$I$18+AT13/AT$6*Mapping!$I$19+AU13/AU$6*Mapping!$I$20+AV13/AV$6*Mapping!$I$21+AW13/AW$6*Mapping!$I$22+AX13/AX$6*Mapping!$I$23)/SUM(Mapping!$I$15:$I$23),"")</f>
        <v/>
      </c>
      <c r="BK13" s="64">
        <f>IFERROR((AP13/AP$6*Mapping!$J$15+AQ13/AQ$6*Mapping!$J$16+AR13/AR$6*Mapping!$J$17+AS13/AS$6*Mapping!$J$18+AT13/AT$6*Mapping!$J$19+AU13/AU$6*Mapping!$J$20+AV13/AV$6*Mapping!$J$21+AW13/AW$6*Mapping!$J$22+AX13/AX$6*Mapping!$J$23)/SUM(Mapping!$J$15:$J$23),"")</f>
        <v/>
      </c>
      <c r="BL13" s="64">
        <f>IFERROR((AP13/AP$6*Mapping!$K$15+AQ13/AQ$6*Mapping!$K$16+AR13/AR$6*Mapping!$K$17+AS13/AS$6*Mapping!$K$18+AT13/AT$6*Mapping!$K$19+AU13/AU$6*Mapping!$K$20+AV13/AV$6*Mapping!$K$21+AW13/AW$6*Mapping!$K$22+AX13/AX$6*Mapping!$K$23)/SUM(Mapping!$K$15:$K$23),"")</f>
        <v/>
      </c>
      <c r="BM13" s="64">
        <f>IFERROR((AP13/AP$6*Mapping!$L$15+AQ13/AQ$6*Mapping!$L$16+AR13/AR$6*Mapping!$L$17+AS13/AS$6*Mapping!$L$18+AT13/AT$6*Mapping!$L$19+AU13/AU$6*Mapping!$L$20+AV13/AV$6*Mapping!$L$21+AW13/AW$6*Mapping!$L$22+AX13/AX$6*Mapping!$L$23)/SUM(Mapping!$L$15:$L$23),"")</f>
        <v/>
      </c>
      <c r="BN13" s="64">
        <f>IFERROR((AP13/AP$6*Mapping!$M$15+AQ13/AQ$6*Mapping!$M$16+AR13/AR$6*Mapping!$M$17+AS13/AS$6*Mapping!$M$18+AT13/AT$6*Mapping!$M$19+AU13/AU$6*Mapping!$M$20+AV13/AV$6*Mapping!$M$21+AW13/AW$6*Mapping!$M$22+AX13/AX$6*Mapping!$M$23)/SUM(Mapping!$M$15:$M$23),"")</f>
        <v/>
      </c>
      <c r="BO13" s="64">
        <f>IFERROR((AP13/AP$6*Mapping!$N$15+AQ13/AQ$6*Mapping!$N$16+AR13/AR$6*Mapping!$N$17+AS13/AS$6*Mapping!$N$18+AT13/AT$6*Mapping!$N$19+AU13/AU$6*Mapping!$N$20+AV13/AV$6*Mapping!$N$21+AW13/AW$6*Mapping!$N$22+AX13/AX$6*Mapping!$N$23)/SUM(Mapping!$N$15:$N$23),"")</f>
        <v/>
      </c>
      <c r="BP13" s="64">
        <f>IFERROR((AP13/AP$6*Mapping!$O$15+AQ13/AQ$6*Mapping!$O$16+AR13/AR$6*Mapping!$O$17+AS13/AS$6*Mapping!$O$18+AT13/AT$6*Mapping!$O$19+AU13/AU$6*Mapping!$O$20+AV13/AV$6*Mapping!$O$21+AW13/AW$6*Mapping!$O$22+AX13/AX$6*Mapping!$O$23)/SUM(Mapping!$O$15:$O$23),"")</f>
        <v/>
      </c>
      <c r="BQ13" s="64">
        <f>IFERROR((AP13/AP$6*Mapping!$P$15+AQ13/AQ$6*Mapping!$P$16+AR13/AR$6*Mapping!$P$17+AS13/AS$6*Mapping!$P$18+AT13/AT$6*Mapping!$P$19+AU13/AU$6*Mapping!$P$20+AV13/AV$6*Mapping!$P$21+AW13/AW$6*Mapping!$P$22+AX13/AX$6*Mapping!$P$23)/SUM(Mapping!$P$15:$P$23),"")</f>
        <v/>
      </c>
      <c r="BR13" s="65">
        <f>IF(BA13="","",BA13+N(AS13)/10000)</f>
        <v/>
      </c>
    </row>
    <row r="14" ht="30" customHeight="1">
      <c r="A14" s="28" t="n">
        <v>8</v>
      </c>
      <c r="B14" s="29" t="inlineStr">
        <is>
          <t>5th Sem - B</t>
        </is>
      </c>
      <c r="C14" s="29">
        <f>IFERROR(INDEX('5B Intra'!$C$7:$C$26,MATCH(3,'5B Intra'!$BC$7:$BC$26,0))&amp;"","")</f>
        <v/>
      </c>
      <c r="D14" s="6">
        <f>IFERROR(INDEX('5B Intra'!$D$7:$D$26,MATCH(3,'5B Intra'!$BC$7:$BC$26,0))&amp;"","")</f>
        <v/>
      </c>
      <c r="E14" s="6">
        <f>IFERROR(INDEX('5B Intra'!$E$7:$E$26,MATCH(3,'5B Intra'!$BC$7:$BC$26,0))&amp;"","")</f>
        <v/>
      </c>
      <c r="F14" s="29">
        <f>IFERROR(INDEX('5B Intra'!$F$7:$F$26,MATCH(3,'5B Intra'!$BC$7:$BC$26,0))&amp;"","")</f>
        <v/>
      </c>
      <c r="G14" s="29">
        <f>IFERROR(INDEX('5B Intra'!$G$7:$G$26,MATCH(3,'5B Intra'!$BC$7:$BC$26,0))&amp;"","")</f>
        <v/>
      </c>
      <c r="H14" s="6">
        <f>IFERROR(INDEX('5B Intra'!$H$7:$H$26,MATCH(3,'5B Intra'!$BC$7:$BC$26,0))&amp;"","")</f>
        <v/>
      </c>
      <c r="I14" s="29" t="n"/>
      <c r="J14" s="29" t="n"/>
      <c r="K14" s="29" t="n"/>
      <c r="L14" s="29" t="n"/>
      <c r="M14" s="29" t="n"/>
      <c r="N14" s="29" t="n"/>
      <c r="O14" s="29" t="n"/>
      <c r="P14" s="29" t="n"/>
      <c r="Q14" s="29" t="n"/>
      <c r="R14" s="29" t="n"/>
      <c r="S14" s="29" t="n"/>
      <c r="T14" s="29" t="n"/>
      <c r="U14" s="29" t="n"/>
      <c r="V14" s="29" t="n"/>
      <c r="W14" s="29" t="n"/>
      <c r="X14" s="29" t="n"/>
      <c r="Y14" s="29" t="n"/>
      <c r="Z14" s="29" t="n"/>
      <c r="AA14" s="29" t="n"/>
      <c r="AB14" s="29" t="n"/>
      <c r="AC14" s="29" t="n"/>
      <c r="AD14" s="29" t="n"/>
      <c r="AE14" s="29" t="n"/>
      <c r="AF14" s="29" t="n"/>
      <c r="AG14" s="29" t="n"/>
      <c r="AH14" s="29" t="n"/>
      <c r="AI14" s="29" t="n"/>
      <c r="AJ14" s="29" t="n"/>
      <c r="AK14" s="29" t="n"/>
      <c r="AL14" s="29" t="n"/>
      <c r="AM14" s="29" t="n"/>
      <c r="AN14" s="29" t="n"/>
      <c r="AO14" s="29" t="n"/>
      <c r="AP14" s="59">
        <f>IF(COUNT(I14,T14,AE14)=0,"",AVERAGE(I14,T14,AE14))</f>
        <v/>
      </c>
      <c r="AQ14" s="59">
        <f>IF(COUNT(J14,U14,AF14)=0,"",AVERAGE(J14,U14,AF14))</f>
        <v/>
      </c>
      <c r="AR14" s="59">
        <f>IF(COUNT(K14,V14,AG14)=0,"",AVERAGE(K14,V14,AG14))</f>
        <v/>
      </c>
      <c r="AS14" s="59">
        <f>IF(COUNT(L14,W14,AH14)=0,"",AVERAGE(L14,W14,AH14))</f>
        <v/>
      </c>
      <c r="AT14" s="59">
        <f>IF(COUNT(M14,X14,AI14)=0,"",AVERAGE(M14,X14,AI14))</f>
        <v/>
      </c>
      <c r="AU14" s="59">
        <f>IF(COUNT(N14,Y14,AJ14)=0,"",AVERAGE(N14,Y14,AJ14))</f>
        <v/>
      </c>
      <c r="AV14" s="59">
        <f>IF(COUNT(O14,Z14,AK14)=0,"",AVERAGE(O14,Z14,AK14))</f>
        <v/>
      </c>
      <c r="AW14" s="59">
        <f>IF(COUNT(P14,AA14,AL14)=0,"",AVERAGE(P14,AA14,AL14))</f>
        <v/>
      </c>
      <c r="AX14" s="59">
        <f>IF(COUNT(Q14,AB14,AM14)=0,"",AVERAGE(Q14,AB14,AM14))</f>
        <v/>
      </c>
      <c r="AY14" s="60">
        <f>IF(OR($F14="",COUNT(R14,AC14,AN14)=0),"",AVERAGE(R14,AC14,AN14))</f>
        <v/>
      </c>
      <c r="AZ14" s="60">
        <f>IF(OR($G14="",$G14=$F14,COUNT(S14,AD14,AO14)=0),"",AVERAGE(S14,AD14,AO14))</f>
        <v/>
      </c>
      <c r="BA14" s="61">
        <f>IF(COUNT(AP14:AX14)=0,"",SUM(AP14:AX14))</f>
        <v/>
      </c>
      <c r="BB14" s="62">
        <f>IF(BA14="","",BA14/BA$6)</f>
        <v/>
      </c>
      <c r="BC14" s="14">
        <f>IF(BR14="","",COUNTIF($BR$7:$BR$16,"&gt;"&amp;BR14)+COUNTIF($BR$7:BR14,BR14))</f>
        <v/>
      </c>
      <c r="BD14" s="63">
        <f>IF(BC14="","",IF(BC14&lt;=Mapping!$C$11,"Shortlisted","Not shortlisted"))</f>
        <v/>
      </c>
      <c r="BE14" s="64">
        <f>IFERROR((AP14/AP$6*Mapping!$D$15+AQ14/AQ$6*Mapping!$D$16+AR14/AR$6*Mapping!$D$17+AS14/AS$6*Mapping!$D$18+AT14/AT$6*Mapping!$D$19+AU14/AU$6*Mapping!$D$20+AV14/AV$6*Mapping!$D$21+AW14/AW$6*Mapping!$D$22+AX14/AX$6*Mapping!$D$23)/SUM(Mapping!$D$15:$D$23),"")</f>
        <v/>
      </c>
      <c r="BF14" s="64">
        <f>IFERROR((AP14/AP$6*Mapping!$E$15+AQ14/AQ$6*Mapping!$E$16+AR14/AR$6*Mapping!$E$17+AS14/AS$6*Mapping!$E$18+AT14/AT$6*Mapping!$E$19+AU14/AU$6*Mapping!$E$20+AV14/AV$6*Mapping!$E$21+AW14/AW$6*Mapping!$E$22+AX14/AX$6*Mapping!$E$23)/SUM(Mapping!$E$15:$E$23),"")</f>
        <v/>
      </c>
      <c r="BG14" s="64">
        <f>IFERROR((AP14/AP$6*Mapping!$F$15+AQ14/AQ$6*Mapping!$F$16+AR14/AR$6*Mapping!$F$17+AS14/AS$6*Mapping!$F$18+AT14/AT$6*Mapping!$F$19+AU14/AU$6*Mapping!$F$20+AV14/AV$6*Mapping!$F$21+AW14/AW$6*Mapping!$F$22+AX14/AX$6*Mapping!$F$23)/SUM(Mapping!$F$15:$F$23),"")</f>
        <v/>
      </c>
      <c r="BH14" s="64">
        <f>IFERROR((AP14/AP$6*Mapping!$G$15+AQ14/AQ$6*Mapping!$G$16+AR14/AR$6*Mapping!$G$17+AS14/AS$6*Mapping!$G$18+AT14/AT$6*Mapping!$G$19+AU14/AU$6*Mapping!$G$20+AV14/AV$6*Mapping!$G$21+AW14/AW$6*Mapping!$G$22+AX14/AX$6*Mapping!$G$23)/SUM(Mapping!$G$15:$G$23),"")</f>
        <v/>
      </c>
      <c r="BI14" s="64">
        <f>IFERROR((AP14/AP$6*Mapping!$H$15+AQ14/AQ$6*Mapping!$H$16+AR14/AR$6*Mapping!$H$17+AS14/AS$6*Mapping!$H$18+AT14/AT$6*Mapping!$H$19+AU14/AU$6*Mapping!$H$20+AV14/AV$6*Mapping!$H$21+AW14/AW$6*Mapping!$H$22+AX14/AX$6*Mapping!$H$23)/SUM(Mapping!$H$15:$H$23),"")</f>
        <v/>
      </c>
      <c r="BJ14" s="64">
        <f>IFERROR((AP14/AP$6*Mapping!$I$15+AQ14/AQ$6*Mapping!$I$16+AR14/AR$6*Mapping!$I$17+AS14/AS$6*Mapping!$I$18+AT14/AT$6*Mapping!$I$19+AU14/AU$6*Mapping!$I$20+AV14/AV$6*Mapping!$I$21+AW14/AW$6*Mapping!$I$22+AX14/AX$6*Mapping!$I$23)/SUM(Mapping!$I$15:$I$23),"")</f>
        <v/>
      </c>
      <c r="BK14" s="64">
        <f>IFERROR((AP14/AP$6*Mapping!$J$15+AQ14/AQ$6*Mapping!$J$16+AR14/AR$6*Mapping!$J$17+AS14/AS$6*Mapping!$J$18+AT14/AT$6*Mapping!$J$19+AU14/AU$6*Mapping!$J$20+AV14/AV$6*Mapping!$J$21+AW14/AW$6*Mapping!$J$22+AX14/AX$6*Mapping!$J$23)/SUM(Mapping!$J$15:$J$23),"")</f>
        <v/>
      </c>
      <c r="BL14" s="64">
        <f>IFERROR((AP14/AP$6*Mapping!$K$15+AQ14/AQ$6*Mapping!$K$16+AR14/AR$6*Mapping!$K$17+AS14/AS$6*Mapping!$K$18+AT14/AT$6*Mapping!$K$19+AU14/AU$6*Mapping!$K$20+AV14/AV$6*Mapping!$K$21+AW14/AW$6*Mapping!$K$22+AX14/AX$6*Mapping!$K$23)/SUM(Mapping!$K$15:$K$23),"")</f>
        <v/>
      </c>
      <c r="BM14" s="64">
        <f>IFERROR((AP14/AP$6*Mapping!$L$15+AQ14/AQ$6*Mapping!$L$16+AR14/AR$6*Mapping!$L$17+AS14/AS$6*Mapping!$L$18+AT14/AT$6*Mapping!$L$19+AU14/AU$6*Mapping!$L$20+AV14/AV$6*Mapping!$L$21+AW14/AW$6*Mapping!$L$22+AX14/AX$6*Mapping!$L$23)/SUM(Mapping!$L$15:$L$23),"")</f>
        <v/>
      </c>
      <c r="BN14" s="64">
        <f>IFERROR((AP14/AP$6*Mapping!$M$15+AQ14/AQ$6*Mapping!$M$16+AR14/AR$6*Mapping!$M$17+AS14/AS$6*Mapping!$M$18+AT14/AT$6*Mapping!$M$19+AU14/AU$6*Mapping!$M$20+AV14/AV$6*Mapping!$M$21+AW14/AW$6*Mapping!$M$22+AX14/AX$6*Mapping!$M$23)/SUM(Mapping!$M$15:$M$23),"")</f>
        <v/>
      </c>
      <c r="BO14" s="64">
        <f>IFERROR((AP14/AP$6*Mapping!$N$15+AQ14/AQ$6*Mapping!$N$16+AR14/AR$6*Mapping!$N$17+AS14/AS$6*Mapping!$N$18+AT14/AT$6*Mapping!$N$19+AU14/AU$6*Mapping!$N$20+AV14/AV$6*Mapping!$N$21+AW14/AW$6*Mapping!$N$22+AX14/AX$6*Mapping!$N$23)/SUM(Mapping!$N$15:$N$23),"")</f>
        <v/>
      </c>
      <c r="BP14" s="64">
        <f>IFERROR((AP14/AP$6*Mapping!$O$15+AQ14/AQ$6*Mapping!$O$16+AR14/AR$6*Mapping!$O$17+AS14/AS$6*Mapping!$O$18+AT14/AT$6*Mapping!$O$19+AU14/AU$6*Mapping!$O$20+AV14/AV$6*Mapping!$O$21+AW14/AW$6*Mapping!$O$22+AX14/AX$6*Mapping!$O$23)/SUM(Mapping!$O$15:$O$23),"")</f>
        <v/>
      </c>
      <c r="BQ14" s="64">
        <f>IFERROR((AP14/AP$6*Mapping!$P$15+AQ14/AQ$6*Mapping!$P$16+AR14/AR$6*Mapping!$P$17+AS14/AS$6*Mapping!$P$18+AT14/AT$6*Mapping!$P$19+AU14/AU$6*Mapping!$P$20+AV14/AV$6*Mapping!$P$21+AW14/AW$6*Mapping!$P$22+AX14/AX$6*Mapping!$P$23)/SUM(Mapping!$P$15:$P$23),"")</f>
        <v/>
      </c>
      <c r="BR14" s="65">
        <f>IF(BA14="","",BA14+N(AS14)/10000)</f>
        <v/>
      </c>
    </row>
    <row r="15" ht="30" customHeight="1">
      <c r="A15" s="28" t="n">
        <v>9</v>
      </c>
      <c r="B15" s="29" t="inlineStr">
        <is>
          <t>5th Sem - B</t>
        </is>
      </c>
      <c r="C15" s="29">
        <f>IFERROR(INDEX('5B Intra'!$C$7:$C$26,MATCH(4,'5B Intra'!$BC$7:$BC$26,0))&amp;"","")</f>
        <v/>
      </c>
      <c r="D15" s="6">
        <f>IFERROR(INDEX('5B Intra'!$D$7:$D$26,MATCH(4,'5B Intra'!$BC$7:$BC$26,0))&amp;"","")</f>
        <v/>
      </c>
      <c r="E15" s="6">
        <f>IFERROR(INDEX('5B Intra'!$E$7:$E$26,MATCH(4,'5B Intra'!$BC$7:$BC$26,0))&amp;"","")</f>
        <v/>
      </c>
      <c r="F15" s="29">
        <f>IFERROR(INDEX('5B Intra'!$F$7:$F$26,MATCH(4,'5B Intra'!$BC$7:$BC$26,0))&amp;"","")</f>
        <v/>
      </c>
      <c r="G15" s="29">
        <f>IFERROR(INDEX('5B Intra'!$G$7:$G$26,MATCH(4,'5B Intra'!$BC$7:$BC$26,0))&amp;"","")</f>
        <v/>
      </c>
      <c r="H15" s="6">
        <f>IFERROR(INDEX('5B Intra'!$H$7:$H$26,MATCH(4,'5B Intra'!$BC$7:$BC$26,0))&amp;"","")</f>
        <v/>
      </c>
      <c r="I15" s="29" t="n"/>
      <c r="J15" s="29" t="n"/>
      <c r="K15" s="29" t="n"/>
      <c r="L15" s="29" t="n"/>
      <c r="M15" s="29" t="n"/>
      <c r="N15" s="29" t="n"/>
      <c r="O15" s="29" t="n"/>
      <c r="P15" s="29" t="n"/>
      <c r="Q15" s="29" t="n"/>
      <c r="R15" s="29" t="n"/>
      <c r="S15" s="29" t="n"/>
      <c r="T15" s="29" t="n"/>
      <c r="U15" s="29" t="n"/>
      <c r="V15" s="29" t="n"/>
      <c r="W15" s="29" t="n"/>
      <c r="X15" s="29" t="n"/>
      <c r="Y15" s="29" t="n"/>
      <c r="Z15" s="29" t="n"/>
      <c r="AA15" s="29" t="n"/>
      <c r="AB15" s="29" t="n"/>
      <c r="AC15" s="29" t="n"/>
      <c r="AD15" s="29" t="n"/>
      <c r="AE15" s="29" t="n"/>
      <c r="AF15" s="29" t="n"/>
      <c r="AG15" s="29" t="n"/>
      <c r="AH15" s="29" t="n"/>
      <c r="AI15" s="29" t="n"/>
      <c r="AJ15" s="29" t="n"/>
      <c r="AK15" s="29" t="n"/>
      <c r="AL15" s="29" t="n"/>
      <c r="AM15" s="29" t="n"/>
      <c r="AN15" s="29" t="n"/>
      <c r="AO15" s="29" t="n"/>
      <c r="AP15" s="59">
        <f>IF(COUNT(I15,T15,AE15)=0,"",AVERAGE(I15,T15,AE15))</f>
        <v/>
      </c>
      <c r="AQ15" s="59">
        <f>IF(COUNT(J15,U15,AF15)=0,"",AVERAGE(J15,U15,AF15))</f>
        <v/>
      </c>
      <c r="AR15" s="59">
        <f>IF(COUNT(K15,V15,AG15)=0,"",AVERAGE(K15,V15,AG15))</f>
        <v/>
      </c>
      <c r="AS15" s="59">
        <f>IF(COUNT(L15,W15,AH15)=0,"",AVERAGE(L15,W15,AH15))</f>
        <v/>
      </c>
      <c r="AT15" s="59">
        <f>IF(COUNT(M15,X15,AI15)=0,"",AVERAGE(M15,X15,AI15))</f>
        <v/>
      </c>
      <c r="AU15" s="59">
        <f>IF(COUNT(N15,Y15,AJ15)=0,"",AVERAGE(N15,Y15,AJ15))</f>
        <v/>
      </c>
      <c r="AV15" s="59">
        <f>IF(COUNT(O15,Z15,AK15)=0,"",AVERAGE(O15,Z15,AK15))</f>
        <v/>
      </c>
      <c r="AW15" s="59">
        <f>IF(COUNT(P15,AA15,AL15)=0,"",AVERAGE(P15,AA15,AL15))</f>
        <v/>
      </c>
      <c r="AX15" s="59">
        <f>IF(COUNT(Q15,AB15,AM15)=0,"",AVERAGE(Q15,AB15,AM15))</f>
        <v/>
      </c>
      <c r="AY15" s="60">
        <f>IF(OR($F15="",COUNT(R15,AC15,AN15)=0),"",AVERAGE(R15,AC15,AN15))</f>
        <v/>
      </c>
      <c r="AZ15" s="60">
        <f>IF(OR($G15="",$G15=$F15,COUNT(S15,AD15,AO15)=0),"",AVERAGE(S15,AD15,AO15))</f>
        <v/>
      </c>
      <c r="BA15" s="61">
        <f>IF(COUNT(AP15:AX15)=0,"",SUM(AP15:AX15))</f>
        <v/>
      </c>
      <c r="BB15" s="62">
        <f>IF(BA15="","",BA15/BA$6)</f>
        <v/>
      </c>
      <c r="BC15" s="14">
        <f>IF(BR15="","",COUNTIF($BR$7:$BR$16,"&gt;"&amp;BR15)+COUNTIF($BR$7:BR15,BR15))</f>
        <v/>
      </c>
      <c r="BD15" s="63">
        <f>IF(BC15="","",IF(BC15&lt;=Mapping!$C$11,"Shortlisted","Not shortlisted"))</f>
        <v/>
      </c>
      <c r="BE15" s="64">
        <f>IFERROR((AP15/AP$6*Mapping!$D$15+AQ15/AQ$6*Mapping!$D$16+AR15/AR$6*Mapping!$D$17+AS15/AS$6*Mapping!$D$18+AT15/AT$6*Mapping!$D$19+AU15/AU$6*Mapping!$D$20+AV15/AV$6*Mapping!$D$21+AW15/AW$6*Mapping!$D$22+AX15/AX$6*Mapping!$D$23)/SUM(Mapping!$D$15:$D$23),"")</f>
        <v/>
      </c>
      <c r="BF15" s="64">
        <f>IFERROR((AP15/AP$6*Mapping!$E$15+AQ15/AQ$6*Mapping!$E$16+AR15/AR$6*Mapping!$E$17+AS15/AS$6*Mapping!$E$18+AT15/AT$6*Mapping!$E$19+AU15/AU$6*Mapping!$E$20+AV15/AV$6*Mapping!$E$21+AW15/AW$6*Mapping!$E$22+AX15/AX$6*Mapping!$E$23)/SUM(Mapping!$E$15:$E$23),"")</f>
        <v/>
      </c>
      <c r="BG15" s="64">
        <f>IFERROR((AP15/AP$6*Mapping!$F$15+AQ15/AQ$6*Mapping!$F$16+AR15/AR$6*Mapping!$F$17+AS15/AS$6*Mapping!$F$18+AT15/AT$6*Mapping!$F$19+AU15/AU$6*Mapping!$F$20+AV15/AV$6*Mapping!$F$21+AW15/AW$6*Mapping!$F$22+AX15/AX$6*Mapping!$F$23)/SUM(Mapping!$F$15:$F$23),"")</f>
        <v/>
      </c>
      <c r="BH15" s="64">
        <f>IFERROR((AP15/AP$6*Mapping!$G$15+AQ15/AQ$6*Mapping!$G$16+AR15/AR$6*Mapping!$G$17+AS15/AS$6*Mapping!$G$18+AT15/AT$6*Mapping!$G$19+AU15/AU$6*Mapping!$G$20+AV15/AV$6*Mapping!$G$21+AW15/AW$6*Mapping!$G$22+AX15/AX$6*Mapping!$G$23)/SUM(Mapping!$G$15:$G$23),"")</f>
        <v/>
      </c>
      <c r="BI15" s="64">
        <f>IFERROR((AP15/AP$6*Mapping!$H$15+AQ15/AQ$6*Mapping!$H$16+AR15/AR$6*Mapping!$H$17+AS15/AS$6*Mapping!$H$18+AT15/AT$6*Mapping!$H$19+AU15/AU$6*Mapping!$H$20+AV15/AV$6*Mapping!$H$21+AW15/AW$6*Mapping!$H$22+AX15/AX$6*Mapping!$H$23)/SUM(Mapping!$H$15:$H$23),"")</f>
        <v/>
      </c>
      <c r="BJ15" s="64">
        <f>IFERROR((AP15/AP$6*Mapping!$I$15+AQ15/AQ$6*Mapping!$I$16+AR15/AR$6*Mapping!$I$17+AS15/AS$6*Mapping!$I$18+AT15/AT$6*Mapping!$I$19+AU15/AU$6*Mapping!$I$20+AV15/AV$6*Mapping!$I$21+AW15/AW$6*Mapping!$I$22+AX15/AX$6*Mapping!$I$23)/SUM(Mapping!$I$15:$I$23),"")</f>
        <v/>
      </c>
      <c r="BK15" s="64">
        <f>IFERROR((AP15/AP$6*Mapping!$J$15+AQ15/AQ$6*Mapping!$J$16+AR15/AR$6*Mapping!$J$17+AS15/AS$6*Mapping!$J$18+AT15/AT$6*Mapping!$J$19+AU15/AU$6*Mapping!$J$20+AV15/AV$6*Mapping!$J$21+AW15/AW$6*Mapping!$J$22+AX15/AX$6*Mapping!$J$23)/SUM(Mapping!$J$15:$J$23),"")</f>
        <v/>
      </c>
      <c r="BL15" s="64">
        <f>IFERROR((AP15/AP$6*Mapping!$K$15+AQ15/AQ$6*Mapping!$K$16+AR15/AR$6*Mapping!$K$17+AS15/AS$6*Mapping!$K$18+AT15/AT$6*Mapping!$K$19+AU15/AU$6*Mapping!$K$20+AV15/AV$6*Mapping!$K$21+AW15/AW$6*Mapping!$K$22+AX15/AX$6*Mapping!$K$23)/SUM(Mapping!$K$15:$K$23),"")</f>
        <v/>
      </c>
      <c r="BM15" s="64">
        <f>IFERROR((AP15/AP$6*Mapping!$L$15+AQ15/AQ$6*Mapping!$L$16+AR15/AR$6*Mapping!$L$17+AS15/AS$6*Mapping!$L$18+AT15/AT$6*Mapping!$L$19+AU15/AU$6*Mapping!$L$20+AV15/AV$6*Mapping!$L$21+AW15/AW$6*Mapping!$L$22+AX15/AX$6*Mapping!$L$23)/SUM(Mapping!$L$15:$L$23),"")</f>
        <v/>
      </c>
      <c r="BN15" s="64">
        <f>IFERROR((AP15/AP$6*Mapping!$M$15+AQ15/AQ$6*Mapping!$M$16+AR15/AR$6*Mapping!$M$17+AS15/AS$6*Mapping!$M$18+AT15/AT$6*Mapping!$M$19+AU15/AU$6*Mapping!$M$20+AV15/AV$6*Mapping!$M$21+AW15/AW$6*Mapping!$M$22+AX15/AX$6*Mapping!$M$23)/SUM(Mapping!$M$15:$M$23),"")</f>
        <v/>
      </c>
      <c r="BO15" s="64">
        <f>IFERROR((AP15/AP$6*Mapping!$N$15+AQ15/AQ$6*Mapping!$N$16+AR15/AR$6*Mapping!$N$17+AS15/AS$6*Mapping!$N$18+AT15/AT$6*Mapping!$N$19+AU15/AU$6*Mapping!$N$20+AV15/AV$6*Mapping!$N$21+AW15/AW$6*Mapping!$N$22+AX15/AX$6*Mapping!$N$23)/SUM(Mapping!$N$15:$N$23),"")</f>
        <v/>
      </c>
      <c r="BP15" s="64">
        <f>IFERROR((AP15/AP$6*Mapping!$O$15+AQ15/AQ$6*Mapping!$O$16+AR15/AR$6*Mapping!$O$17+AS15/AS$6*Mapping!$O$18+AT15/AT$6*Mapping!$O$19+AU15/AU$6*Mapping!$O$20+AV15/AV$6*Mapping!$O$21+AW15/AW$6*Mapping!$O$22+AX15/AX$6*Mapping!$O$23)/SUM(Mapping!$O$15:$O$23),"")</f>
        <v/>
      </c>
      <c r="BQ15" s="64">
        <f>IFERROR((AP15/AP$6*Mapping!$P$15+AQ15/AQ$6*Mapping!$P$16+AR15/AR$6*Mapping!$P$17+AS15/AS$6*Mapping!$P$18+AT15/AT$6*Mapping!$P$19+AU15/AU$6*Mapping!$P$20+AV15/AV$6*Mapping!$P$21+AW15/AW$6*Mapping!$P$22+AX15/AX$6*Mapping!$P$23)/SUM(Mapping!$P$15:$P$23),"")</f>
        <v/>
      </c>
      <c r="BR15" s="65">
        <f>IF(BA15="","",BA15+N(AS15)/10000)</f>
        <v/>
      </c>
    </row>
    <row r="16" ht="30" customHeight="1">
      <c r="A16" s="28" t="n">
        <v>10</v>
      </c>
      <c r="B16" s="29" t="inlineStr">
        <is>
          <t>5th Sem - B</t>
        </is>
      </c>
      <c r="C16" s="29">
        <f>IFERROR(INDEX('5B Intra'!$C$7:$C$26,MATCH(5,'5B Intra'!$BC$7:$BC$26,0))&amp;"","")</f>
        <v/>
      </c>
      <c r="D16" s="6">
        <f>IFERROR(INDEX('5B Intra'!$D$7:$D$26,MATCH(5,'5B Intra'!$BC$7:$BC$26,0))&amp;"","")</f>
        <v/>
      </c>
      <c r="E16" s="6">
        <f>IFERROR(INDEX('5B Intra'!$E$7:$E$26,MATCH(5,'5B Intra'!$BC$7:$BC$26,0))&amp;"","")</f>
        <v/>
      </c>
      <c r="F16" s="29">
        <f>IFERROR(INDEX('5B Intra'!$F$7:$F$26,MATCH(5,'5B Intra'!$BC$7:$BC$26,0))&amp;"","")</f>
        <v/>
      </c>
      <c r="G16" s="29">
        <f>IFERROR(INDEX('5B Intra'!$G$7:$G$26,MATCH(5,'5B Intra'!$BC$7:$BC$26,0))&amp;"","")</f>
        <v/>
      </c>
      <c r="H16" s="6">
        <f>IFERROR(INDEX('5B Intra'!$H$7:$H$26,MATCH(5,'5B Intra'!$BC$7:$BC$26,0))&amp;"","")</f>
        <v/>
      </c>
      <c r="I16" s="29" t="n"/>
      <c r="J16" s="29" t="n"/>
      <c r="K16" s="29" t="n"/>
      <c r="L16" s="29" t="n"/>
      <c r="M16" s="29" t="n"/>
      <c r="N16" s="29" t="n"/>
      <c r="O16" s="29" t="n"/>
      <c r="P16" s="29" t="n"/>
      <c r="Q16" s="29" t="n"/>
      <c r="R16" s="29" t="n"/>
      <c r="S16" s="29" t="n"/>
      <c r="T16" s="29" t="n"/>
      <c r="U16" s="29" t="n"/>
      <c r="V16" s="29" t="n"/>
      <c r="W16" s="29" t="n"/>
      <c r="X16" s="29" t="n"/>
      <c r="Y16" s="29" t="n"/>
      <c r="Z16" s="29" t="n"/>
      <c r="AA16" s="29" t="n"/>
      <c r="AB16" s="29" t="n"/>
      <c r="AC16" s="29" t="n"/>
      <c r="AD16" s="29" t="n"/>
      <c r="AE16" s="29" t="n"/>
      <c r="AF16" s="29" t="n"/>
      <c r="AG16" s="29" t="n"/>
      <c r="AH16" s="29" t="n"/>
      <c r="AI16" s="29" t="n"/>
      <c r="AJ16" s="29" t="n"/>
      <c r="AK16" s="29" t="n"/>
      <c r="AL16" s="29" t="n"/>
      <c r="AM16" s="29" t="n"/>
      <c r="AN16" s="29" t="n"/>
      <c r="AO16" s="29" t="n"/>
      <c r="AP16" s="59">
        <f>IF(COUNT(I16,T16,AE16)=0,"",AVERAGE(I16,T16,AE16))</f>
        <v/>
      </c>
      <c r="AQ16" s="59">
        <f>IF(COUNT(J16,U16,AF16)=0,"",AVERAGE(J16,U16,AF16))</f>
        <v/>
      </c>
      <c r="AR16" s="59">
        <f>IF(COUNT(K16,V16,AG16)=0,"",AVERAGE(K16,V16,AG16))</f>
        <v/>
      </c>
      <c r="AS16" s="59">
        <f>IF(COUNT(L16,W16,AH16)=0,"",AVERAGE(L16,W16,AH16))</f>
        <v/>
      </c>
      <c r="AT16" s="59">
        <f>IF(COUNT(M16,X16,AI16)=0,"",AVERAGE(M16,X16,AI16))</f>
        <v/>
      </c>
      <c r="AU16" s="59">
        <f>IF(COUNT(N16,Y16,AJ16)=0,"",AVERAGE(N16,Y16,AJ16))</f>
        <v/>
      </c>
      <c r="AV16" s="59">
        <f>IF(COUNT(O16,Z16,AK16)=0,"",AVERAGE(O16,Z16,AK16))</f>
        <v/>
      </c>
      <c r="AW16" s="59">
        <f>IF(COUNT(P16,AA16,AL16)=0,"",AVERAGE(P16,AA16,AL16))</f>
        <v/>
      </c>
      <c r="AX16" s="59">
        <f>IF(COUNT(Q16,AB16,AM16)=0,"",AVERAGE(Q16,AB16,AM16))</f>
        <v/>
      </c>
      <c r="AY16" s="60">
        <f>IF(OR($F16="",COUNT(R16,AC16,AN16)=0),"",AVERAGE(R16,AC16,AN16))</f>
        <v/>
      </c>
      <c r="AZ16" s="60">
        <f>IF(OR($G16="",$G16=$F16,COUNT(S16,AD16,AO16)=0),"",AVERAGE(S16,AD16,AO16))</f>
        <v/>
      </c>
      <c r="BA16" s="61">
        <f>IF(COUNT(AP16:AX16)=0,"",SUM(AP16:AX16))</f>
        <v/>
      </c>
      <c r="BB16" s="62">
        <f>IF(BA16="","",BA16/BA$6)</f>
        <v/>
      </c>
      <c r="BC16" s="14">
        <f>IF(BR16="","",COUNTIF($BR$7:$BR$16,"&gt;"&amp;BR16)+COUNTIF($BR$7:BR16,BR16))</f>
        <v/>
      </c>
      <c r="BD16" s="63">
        <f>IF(BC16="","",IF(BC16&lt;=Mapping!$C$11,"Shortlisted","Not shortlisted"))</f>
        <v/>
      </c>
      <c r="BE16" s="64">
        <f>IFERROR((AP16/AP$6*Mapping!$D$15+AQ16/AQ$6*Mapping!$D$16+AR16/AR$6*Mapping!$D$17+AS16/AS$6*Mapping!$D$18+AT16/AT$6*Mapping!$D$19+AU16/AU$6*Mapping!$D$20+AV16/AV$6*Mapping!$D$21+AW16/AW$6*Mapping!$D$22+AX16/AX$6*Mapping!$D$23)/SUM(Mapping!$D$15:$D$23),"")</f>
        <v/>
      </c>
      <c r="BF16" s="64">
        <f>IFERROR((AP16/AP$6*Mapping!$E$15+AQ16/AQ$6*Mapping!$E$16+AR16/AR$6*Mapping!$E$17+AS16/AS$6*Mapping!$E$18+AT16/AT$6*Mapping!$E$19+AU16/AU$6*Mapping!$E$20+AV16/AV$6*Mapping!$E$21+AW16/AW$6*Mapping!$E$22+AX16/AX$6*Mapping!$E$23)/SUM(Mapping!$E$15:$E$23),"")</f>
        <v/>
      </c>
      <c r="BG16" s="64">
        <f>IFERROR((AP16/AP$6*Mapping!$F$15+AQ16/AQ$6*Mapping!$F$16+AR16/AR$6*Mapping!$F$17+AS16/AS$6*Mapping!$F$18+AT16/AT$6*Mapping!$F$19+AU16/AU$6*Mapping!$F$20+AV16/AV$6*Mapping!$F$21+AW16/AW$6*Mapping!$F$22+AX16/AX$6*Mapping!$F$23)/SUM(Mapping!$F$15:$F$23),"")</f>
        <v/>
      </c>
      <c r="BH16" s="64">
        <f>IFERROR((AP16/AP$6*Mapping!$G$15+AQ16/AQ$6*Mapping!$G$16+AR16/AR$6*Mapping!$G$17+AS16/AS$6*Mapping!$G$18+AT16/AT$6*Mapping!$G$19+AU16/AU$6*Mapping!$G$20+AV16/AV$6*Mapping!$G$21+AW16/AW$6*Mapping!$G$22+AX16/AX$6*Mapping!$G$23)/SUM(Mapping!$G$15:$G$23),"")</f>
        <v/>
      </c>
      <c r="BI16" s="64">
        <f>IFERROR((AP16/AP$6*Mapping!$H$15+AQ16/AQ$6*Mapping!$H$16+AR16/AR$6*Mapping!$H$17+AS16/AS$6*Mapping!$H$18+AT16/AT$6*Mapping!$H$19+AU16/AU$6*Mapping!$H$20+AV16/AV$6*Mapping!$H$21+AW16/AW$6*Mapping!$H$22+AX16/AX$6*Mapping!$H$23)/SUM(Mapping!$H$15:$H$23),"")</f>
        <v/>
      </c>
      <c r="BJ16" s="64">
        <f>IFERROR((AP16/AP$6*Mapping!$I$15+AQ16/AQ$6*Mapping!$I$16+AR16/AR$6*Mapping!$I$17+AS16/AS$6*Mapping!$I$18+AT16/AT$6*Mapping!$I$19+AU16/AU$6*Mapping!$I$20+AV16/AV$6*Mapping!$I$21+AW16/AW$6*Mapping!$I$22+AX16/AX$6*Mapping!$I$23)/SUM(Mapping!$I$15:$I$23),"")</f>
        <v/>
      </c>
      <c r="BK16" s="64">
        <f>IFERROR((AP16/AP$6*Mapping!$J$15+AQ16/AQ$6*Mapping!$J$16+AR16/AR$6*Mapping!$J$17+AS16/AS$6*Mapping!$J$18+AT16/AT$6*Mapping!$J$19+AU16/AU$6*Mapping!$J$20+AV16/AV$6*Mapping!$J$21+AW16/AW$6*Mapping!$J$22+AX16/AX$6*Mapping!$J$23)/SUM(Mapping!$J$15:$J$23),"")</f>
        <v/>
      </c>
      <c r="BL16" s="64">
        <f>IFERROR((AP16/AP$6*Mapping!$K$15+AQ16/AQ$6*Mapping!$K$16+AR16/AR$6*Mapping!$K$17+AS16/AS$6*Mapping!$K$18+AT16/AT$6*Mapping!$K$19+AU16/AU$6*Mapping!$K$20+AV16/AV$6*Mapping!$K$21+AW16/AW$6*Mapping!$K$22+AX16/AX$6*Mapping!$K$23)/SUM(Mapping!$K$15:$K$23),"")</f>
        <v/>
      </c>
      <c r="BM16" s="64">
        <f>IFERROR((AP16/AP$6*Mapping!$L$15+AQ16/AQ$6*Mapping!$L$16+AR16/AR$6*Mapping!$L$17+AS16/AS$6*Mapping!$L$18+AT16/AT$6*Mapping!$L$19+AU16/AU$6*Mapping!$L$20+AV16/AV$6*Mapping!$L$21+AW16/AW$6*Mapping!$L$22+AX16/AX$6*Mapping!$L$23)/SUM(Mapping!$L$15:$L$23),"")</f>
        <v/>
      </c>
      <c r="BN16" s="64">
        <f>IFERROR((AP16/AP$6*Mapping!$M$15+AQ16/AQ$6*Mapping!$M$16+AR16/AR$6*Mapping!$M$17+AS16/AS$6*Mapping!$M$18+AT16/AT$6*Mapping!$M$19+AU16/AU$6*Mapping!$M$20+AV16/AV$6*Mapping!$M$21+AW16/AW$6*Mapping!$M$22+AX16/AX$6*Mapping!$M$23)/SUM(Mapping!$M$15:$M$23),"")</f>
        <v/>
      </c>
      <c r="BO16" s="64">
        <f>IFERROR((AP16/AP$6*Mapping!$N$15+AQ16/AQ$6*Mapping!$N$16+AR16/AR$6*Mapping!$N$17+AS16/AS$6*Mapping!$N$18+AT16/AT$6*Mapping!$N$19+AU16/AU$6*Mapping!$N$20+AV16/AV$6*Mapping!$N$21+AW16/AW$6*Mapping!$N$22+AX16/AX$6*Mapping!$N$23)/SUM(Mapping!$N$15:$N$23),"")</f>
        <v/>
      </c>
      <c r="BP16" s="64">
        <f>IFERROR((AP16/AP$6*Mapping!$O$15+AQ16/AQ$6*Mapping!$O$16+AR16/AR$6*Mapping!$O$17+AS16/AS$6*Mapping!$O$18+AT16/AT$6*Mapping!$O$19+AU16/AU$6*Mapping!$O$20+AV16/AV$6*Mapping!$O$21+AW16/AW$6*Mapping!$O$22+AX16/AX$6*Mapping!$O$23)/SUM(Mapping!$O$15:$O$23),"")</f>
        <v/>
      </c>
      <c r="BQ16" s="64">
        <f>IFERROR((AP16/AP$6*Mapping!$P$15+AQ16/AQ$6*Mapping!$P$16+AR16/AR$6*Mapping!$P$17+AS16/AS$6*Mapping!$P$18+AT16/AT$6*Mapping!$P$19+AU16/AU$6*Mapping!$P$20+AV16/AV$6*Mapping!$P$21+AW16/AW$6*Mapping!$P$22+AX16/AX$6*Mapping!$P$23)/SUM(Mapping!$P$15:$P$23),"")</f>
        <v/>
      </c>
      <c r="BR16" s="65">
        <f>IF(BA16="","",BA16+N(AS16)/10000)</f>
        <v/>
      </c>
    </row>
    <row r="18">
      <c r="D18" s="13" t="inlineStr">
        <is>
          <t>Average score (marks)</t>
        </is>
      </c>
      <c r="AP18" s="59">
        <f>IFERROR(AVERAGE(AP$7:AP$16),"")</f>
        <v/>
      </c>
      <c r="AQ18" s="59">
        <f>IFERROR(AVERAGE(AQ$7:AQ$16),"")</f>
        <v/>
      </c>
      <c r="AR18" s="59">
        <f>IFERROR(AVERAGE(AR$7:AR$16),"")</f>
        <v/>
      </c>
      <c r="AS18" s="59">
        <f>IFERROR(AVERAGE(AS$7:AS$16),"")</f>
        <v/>
      </c>
      <c r="AT18" s="59">
        <f>IFERROR(AVERAGE(AT$7:AT$16),"")</f>
        <v/>
      </c>
      <c r="AU18" s="59">
        <f>IFERROR(AVERAGE(AU$7:AU$16),"")</f>
        <v/>
      </c>
      <c r="AV18" s="59">
        <f>IFERROR(AVERAGE(AV$7:AV$16),"")</f>
        <v/>
      </c>
      <c r="AW18" s="59">
        <f>IFERROR(AVERAGE(AW$7:AW$16),"")</f>
        <v/>
      </c>
      <c r="AX18" s="59">
        <f>IFERROR(AVERAGE(AX$7:AX$16),"")</f>
        <v/>
      </c>
      <c r="AY18" s="60">
        <f>IFERROR(AVERAGE(AY$7:AY$16),"")</f>
        <v/>
      </c>
      <c r="AZ18" s="60">
        <f>IFERROR(AVERAGE(AZ$7:AZ$16),"")</f>
        <v/>
      </c>
      <c r="BA18" s="61">
        <f>IFERROR(AVERAGE(BA$7:BA$16),"")</f>
        <v/>
      </c>
    </row>
    <row r="19">
      <c r="D19" s="13" t="inlineStr">
        <is>
          <t>Average score (% of max)</t>
        </is>
      </c>
      <c r="AP19" s="66">
        <f>IFERROR(AP18/AP$6,"")</f>
        <v/>
      </c>
      <c r="AQ19" s="66">
        <f>IFERROR(AQ18/AQ$6,"")</f>
        <v/>
      </c>
      <c r="AR19" s="66">
        <f>IFERROR(AR18/AR$6,"")</f>
        <v/>
      </c>
      <c r="AS19" s="66">
        <f>IFERROR(AS18/AS$6,"")</f>
        <v/>
      </c>
      <c r="AT19" s="66">
        <f>IFERROR(AT18/AT$6,"")</f>
        <v/>
      </c>
      <c r="AU19" s="66">
        <f>IFERROR(AU18/AU$6,"")</f>
        <v/>
      </c>
      <c r="AV19" s="66">
        <f>IFERROR(AV18/AV$6,"")</f>
        <v/>
      </c>
      <c r="AW19" s="66">
        <f>IFERROR(AW18/AW$6,"")</f>
        <v/>
      </c>
      <c r="AX19" s="66">
        <f>IFERROR(AX18/AX$6,"")</f>
        <v/>
      </c>
      <c r="BA19" s="15">
        <f>IFERROR(BA18/BA$6,"")</f>
        <v/>
      </c>
    </row>
    <row r="20">
      <c r="D20" s="13" t="inlineStr">
        <is>
          <t>Average attainment (%)</t>
        </is>
      </c>
      <c r="BE20" s="67">
        <f>IFERROR(AVERAGE(BE$7:BE$16),"")</f>
        <v/>
      </c>
      <c r="BF20" s="67">
        <f>IFERROR(AVERAGE(BF$7:BF$16),"")</f>
        <v/>
      </c>
      <c r="BG20" s="67">
        <f>IFERROR(AVERAGE(BG$7:BG$16),"")</f>
        <v/>
      </c>
      <c r="BH20" s="67">
        <f>IFERROR(AVERAGE(BH$7:BH$16),"")</f>
        <v/>
      </c>
      <c r="BI20" s="67">
        <f>IFERROR(AVERAGE(BI$7:BI$16),"")</f>
        <v/>
      </c>
      <c r="BJ20" s="67">
        <f>IFERROR(AVERAGE(BJ$7:BJ$16),"")</f>
        <v/>
      </c>
      <c r="BK20" s="67">
        <f>IFERROR(AVERAGE(BK$7:BK$16),"")</f>
        <v/>
      </c>
      <c r="BL20" s="67">
        <f>IFERROR(AVERAGE(BL$7:BL$16),"")</f>
        <v/>
      </c>
      <c r="BM20" s="67">
        <f>IFERROR(AVERAGE(BM$7:BM$16),"")</f>
        <v/>
      </c>
      <c r="BN20" s="67">
        <f>IFERROR(AVERAGE(BN$7:BN$16),"")</f>
        <v/>
      </c>
      <c r="BO20" s="67">
        <f>IFERROR(AVERAGE(BO$7:BO$16),"")</f>
        <v/>
      </c>
      <c r="BP20" s="67">
        <f>IFERROR(AVERAGE(BP$7:BP$16),"")</f>
        <v/>
      </c>
      <c r="BQ20" s="67">
        <f>IFERROR(AVERAGE(BQ$7:BQ$16),"")</f>
        <v/>
      </c>
    </row>
    <row r="21">
      <c r="D21" s="13" t="inlineStr">
        <is>
          <t>% of teams at/above target</t>
        </is>
      </c>
      <c r="BE21" s="67">
        <f>IFERROR(COUNTIF(BE$7:BE$16,"&gt;="&amp;Mapping!$C$7)/COUNT(BE$7:BE$16),"")</f>
        <v/>
      </c>
      <c r="BF21" s="67">
        <f>IFERROR(COUNTIF(BF$7:BF$16,"&gt;="&amp;Mapping!$C$7)/COUNT(BF$7:BF$16),"")</f>
        <v/>
      </c>
      <c r="BG21" s="67">
        <f>IFERROR(COUNTIF(BG$7:BG$16,"&gt;="&amp;Mapping!$C$7)/COUNT(BG$7:BG$16),"")</f>
        <v/>
      </c>
      <c r="BH21" s="67">
        <f>IFERROR(COUNTIF(BH$7:BH$16,"&gt;="&amp;Mapping!$C$7)/COUNT(BH$7:BH$16),"")</f>
        <v/>
      </c>
      <c r="BI21" s="67">
        <f>IFERROR(COUNTIF(BI$7:BI$16,"&gt;="&amp;Mapping!$C$7)/COUNT(BI$7:BI$16),"")</f>
        <v/>
      </c>
      <c r="BJ21" s="67">
        <f>IFERROR(COUNTIF(BJ$7:BJ$16,"&gt;="&amp;Mapping!$C$7)/COUNT(BJ$7:BJ$16),"")</f>
        <v/>
      </c>
      <c r="BK21" s="67">
        <f>IFERROR(COUNTIF(BK$7:BK$16,"&gt;="&amp;Mapping!$C$7)/COUNT(BK$7:BK$16),"")</f>
        <v/>
      </c>
      <c r="BL21" s="67">
        <f>IFERROR(COUNTIF(BL$7:BL$16,"&gt;="&amp;Mapping!$C$7)/COUNT(BL$7:BL$16),"")</f>
        <v/>
      </c>
      <c r="BM21" s="67">
        <f>IFERROR(COUNTIF(BM$7:BM$16,"&gt;="&amp;Mapping!$C$7)/COUNT(BM$7:BM$16),"")</f>
        <v/>
      </c>
      <c r="BN21" s="67">
        <f>IFERROR(COUNTIF(BN$7:BN$16,"&gt;="&amp;Mapping!$C$7)/COUNT(BN$7:BN$16),"")</f>
        <v/>
      </c>
      <c r="BO21" s="67">
        <f>IFERROR(COUNTIF(BO$7:BO$16,"&gt;="&amp;Mapping!$C$7)/COUNT(BO$7:BO$16),"")</f>
        <v/>
      </c>
      <c r="BP21" s="67">
        <f>IFERROR(COUNTIF(BP$7:BP$16,"&gt;="&amp;Mapping!$C$7)/COUNT(BP$7:BP$16),"")</f>
        <v/>
      </c>
      <c r="BQ21" s="67">
        <f>IFERROR(COUNTIF(BQ$7:BQ$16,"&gt;="&amp;Mapping!$C$7)/COUNT(BQ$7:BQ$16),"")</f>
        <v/>
      </c>
    </row>
    <row r="22">
      <c r="D22" s="13" t="inlineStr">
        <is>
          <t>Attainment level (0–3)</t>
        </is>
      </c>
      <c r="BE22" s="68">
        <f>IF(BE21="","",IF(BE21&gt;=Mapping!$C$8,3,IF(BE21&gt;=Mapping!$C$9,2,IF(BE21&gt;=Mapping!$C$10,1,0))))</f>
        <v/>
      </c>
      <c r="BF22" s="68">
        <f>IF(BF21="","",IF(BF21&gt;=Mapping!$C$8,3,IF(BF21&gt;=Mapping!$C$9,2,IF(BF21&gt;=Mapping!$C$10,1,0))))</f>
        <v/>
      </c>
      <c r="BG22" s="68">
        <f>IF(BG21="","",IF(BG21&gt;=Mapping!$C$8,3,IF(BG21&gt;=Mapping!$C$9,2,IF(BG21&gt;=Mapping!$C$10,1,0))))</f>
        <v/>
      </c>
      <c r="BH22" s="68">
        <f>IF(BH21="","",IF(BH21&gt;=Mapping!$C$8,3,IF(BH21&gt;=Mapping!$C$9,2,IF(BH21&gt;=Mapping!$C$10,1,0))))</f>
        <v/>
      </c>
      <c r="BI22" s="68">
        <f>IF(BI21="","",IF(BI21&gt;=Mapping!$C$8,3,IF(BI21&gt;=Mapping!$C$9,2,IF(BI21&gt;=Mapping!$C$10,1,0))))</f>
        <v/>
      </c>
      <c r="BJ22" s="68">
        <f>IF(BJ21="","",IF(BJ21&gt;=Mapping!$C$8,3,IF(BJ21&gt;=Mapping!$C$9,2,IF(BJ21&gt;=Mapping!$C$10,1,0))))</f>
        <v/>
      </c>
      <c r="BK22" s="68">
        <f>IF(BK21="","",IF(BK21&gt;=Mapping!$C$8,3,IF(BK21&gt;=Mapping!$C$9,2,IF(BK21&gt;=Mapping!$C$10,1,0))))</f>
        <v/>
      </c>
      <c r="BL22" s="68">
        <f>IF(BL21="","",IF(BL21&gt;=Mapping!$C$8,3,IF(BL21&gt;=Mapping!$C$9,2,IF(BL21&gt;=Mapping!$C$10,1,0))))</f>
        <v/>
      </c>
      <c r="BM22" s="68">
        <f>IF(BM21="","",IF(BM21&gt;=Mapping!$C$8,3,IF(BM21&gt;=Mapping!$C$9,2,IF(BM21&gt;=Mapping!$C$10,1,0))))</f>
        <v/>
      </c>
      <c r="BN22" s="68">
        <f>IF(BN21="","",IF(BN21&gt;=Mapping!$C$8,3,IF(BN21&gt;=Mapping!$C$9,2,IF(BN21&gt;=Mapping!$C$10,1,0))))</f>
        <v/>
      </c>
      <c r="BO22" s="68">
        <f>IF(BO21="","",IF(BO21&gt;=Mapping!$C$8,3,IF(BO21&gt;=Mapping!$C$9,2,IF(BO21&gt;=Mapping!$C$10,1,0))))</f>
        <v/>
      </c>
      <c r="BP22" s="68">
        <f>IF(BP21="","",IF(BP21&gt;=Mapping!$C$8,3,IF(BP21&gt;=Mapping!$C$9,2,IF(BP21&gt;=Mapping!$C$10,1,0))))</f>
        <v/>
      </c>
      <c r="BQ22" s="68">
        <f>IF(BQ21="","",IF(BQ21&gt;=Mapping!$C$8,3,IF(BQ21&gt;=Mapping!$C$9,2,IF(BQ21&gt;=Mapping!$C$10,1,0))))</f>
        <v/>
      </c>
    </row>
    <row r="23">
      <c r="D23" s="13" t="inlineStr">
        <is>
          <t>Teams evaluated</t>
        </is>
      </c>
      <c r="E23" s="20">
        <f>COUNT(BA$7:BA$16)</f>
        <v/>
      </c>
    </row>
    <row r="24">
      <c r="D24" s="69" t="inlineStr">
        <is>
          <t>SDG attainment: average contribution strength (0–3)</t>
        </is>
      </c>
      <c r="E24" s="60">
        <f>IFERROR((SUM(AY$7:AY$16)+SUM(AZ$7:AZ$16))/(COUNT(AY$7:AY$16)+COUNT(AZ$7:AZ$16)),"")</f>
        <v/>
      </c>
    </row>
    <row r="25">
      <c r="D25" s="69" t="inlineStr">
        <is>
          <t>SDG: % of rated team–SDG pairs at/above target strength</t>
        </is>
      </c>
      <c r="E25" s="70">
        <f>IFERROR((COUNTIF(AY$7:AY$16,"&gt;="&amp;Mapping!$C$12)+COUNTIF(AZ$7:AZ$16,"&gt;="&amp;Mapping!$C$12))/(COUNT(AY$7:AY$16)+COUNT(AZ$7:AZ$16)),"")</f>
        <v/>
      </c>
    </row>
    <row r="26">
      <c r="D26" s="69" t="inlineStr">
        <is>
          <t>SDG: team–SDG pairs rated</t>
        </is>
      </c>
      <c r="E26" s="71">
        <f>COUNT(AY$7:AY$16)+COUNT(AZ$7:AZ$16)</f>
        <v/>
      </c>
    </row>
    <row r="27">
      <c r="D27" s="69" t="inlineStr">
        <is>
          <t>SDG: team–SDG pairs claimed</t>
        </is>
      </c>
      <c r="E27" s="71">
        <f>COUNTIF($F$7:$F$16,"?*")+SUMPRODUCT(--($G$7:$G$16&lt;&gt;""),--($G$7:$G$16&lt;&gt;$F$7:$F$16))</f>
        <v/>
      </c>
    </row>
    <row r="29">
      <c r="D29" s="16" t="inlineStr">
        <is>
          <t>SDG goal-wise attainment (from contribution-strength ratings)</t>
        </is>
      </c>
    </row>
    <row r="30" ht="45" customHeight="1">
      <c r="D30" s="17" t="inlineStr">
        <is>
          <t>Sustainable Development Goal</t>
        </is>
      </c>
      <c r="E30" s="17" t="inlineStr">
        <is>
          <t>Solutions (teams claiming the goal)</t>
        </is>
      </c>
      <c r="F30" s="17" t="inlineStr">
        <is>
          <t>Solutions rated</t>
        </is>
      </c>
      <c r="G30" s="17" t="inlineStr">
        <is>
          <t>Avg contribution strength (0–3)</t>
        </is>
      </c>
      <c r="H30" s="17" t="inlineStr">
        <is>
          <t>% rated at/above target strength</t>
        </is>
      </c>
    </row>
    <row r="31">
      <c r="D31" s="5">
        <f>'SDG List'!A2</f>
        <v/>
      </c>
      <c r="E31" s="11">
        <f>COUNTIF($F$7:$F$16,$D31)+COUNTIF($G$7:$G$16,$D31)-COUNTIFS($F$7:$F$16,$D31,$G$7:$G$16,$D31)</f>
        <v/>
      </c>
      <c r="F31" s="11">
        <f>COUNTIFS($F$7:$F$16,$D31,AY$7:AY$16,"&gt;=0")+COUNTIFS($G$7:$G$16,$D31,AZ$7:AZ$16,"&gt;=0")</f>
        <v/>
      </c>
      <c r="G31" s="18">
        <f>IFERROR((SUMIF($F$7:$F$16,$D31,AY$7:AY$16)+SUMIF($G$7:$G$16,$D31,AZ$7:AZ$16))/F31,"")</f>
        <v/>
      </c>
      <c r="H31" s="12">
        <f>IFERROR((COUNTIFS($F$7:$F$16,$D31,AY$7:AY$16,"&gt;="&amp;Mapping!$C$12)+COUNTIFS($G$7:$G$16,$D31,AZ$7:AZ$16,"&gt;="&amp;Mapping!$C$12))/F31,"")</f>
        <v/>
      </c>
    </row>
    <row r="32">
      <c r="D32" s="5">
        <f>'SDG List'!A3</f>
        <v/>
      </c>
      <c r="E32" s="11">
        <f>COUNTIF($F$7:$F$16,$D32)+COUNTIF($G$7:$G$16,$D32)-COUNTIFS($F$7:$F$16,$D32,$G$7:$G$16,$D32)</f>
        <v/>
      </c>
      <c r="F32" s="11">
        <f>COUNTIFS($F$7:$F$16,$D32,AY$7:AY$16,"&gt;=0")+COUNTIFS($G$7:$G$16,$D32,AZ$7:AZ$16,"&gt;=0")</f>
        <v/>
      </c>
      <c r="G32" s="18">
        <f>IFERROR((SUMIF($F$7:$F$16,$D32,AY$7:AY$16)+SUMIF($G$7:$G$16,$D32,AZ$7:AZ$16))/F32,"")</f>
        <v/>
      </c>
      <c r="H32" s="12">
        <f>IFERROR((COUNTIFS($F$7:$F$16,$D32,AY$7:AY$16,"&gt;="&amp;Mapping!$C$12)+COUNTIFS($G$7:$G$16,$D32,AZ$7:AZ$16,"&gt;="&amp;Mapping!$C$12))/F32,"")</f>
        <v/>
      </c>
    </row>
    <row r="33">
      <c r="D33" s="5">
        <f>'SDG List'!A4</f>
        <v/>
      </c>
      <c r="E33" s="11">
        <f>COUNTIF($F$7:$F$16,$D33)+COUNTIF($G$7:$G$16,$D33)-COUNTIFS($F$7:$F$16,$D33,$G$7:$G$16,$D33)</f>
        <v/>
      </c>
      <c r="F33" s="11">
        <f>COUNTIFS($F$7:$F$16,$D33,AY$7:AY$16,"&gt;=0")+COUNTIFS($G$7:$G$16,$D33,AZ$7:AZ$16,"&gt;=0")</f>
        <v/>
      </c>
      <c r="G33" s="18">
        <f>IFERROR((SUMIF($F$7:$F$16,$D33,AY$7:AY$16)+SUMIF($G$7:$G$16,$D33,AZ$7:AZ$16))/F33,"")</f>
        <v/>
      </c>
      <c r="H33" s="12">
        <f>IFERROR((COUNTIFS($F$7:$F$16,$D33,AY$7:AY$16,"&gt;="&amp;Mapping!$C$12)+COUNTIFS($G$7:$G$16,$D33,AZ$7:AZ$16,"&gt;="&amp;Mapping!$C$12))/F33,"")</f>
        <v/>
      </c>
    </row>
    <row r="34">
      <c r="D34" s="5">
        <f>'SDG List'!A5</f>
        <v/>
      </c>
      <c r="E34" s="11">
        <f>COUNTIF($F$7:$F$16,$D34)+COUNTIF($G$7:$G$16,$D34)-COUNTIFS($F$7:$F$16,$D34,$G$7:$G$16,$D34)</f>
        <v/>
      </c>
      <c r="F34" s="11">
        <f>COUNTIFS($F$7:$F$16,$D34,AY$7:AY$16,"&gt;=0")+COUNTIFS($G$7:$G$16,$D34,AZ$7:AZ$16,"&gt;=0")</f>
        <v/>
      </c>
      <c r="G34" s="18">
        <f>IFERROR((SUMIF($F$7:$F$16,$D34,AY$7:AY$16)+SUMIF($G$7:$G$16,$D34,AZ$7:AZ$16))/F34,"")</f>
        <v/>
      </c>
      <c r="H34" s="12">
        <f>IFERROR((COUNTIFS($F$7:$F$16,$D34,AY$7:AY$16,"&gt;="&amp;Mapping!$C$12)+COUNTIFS($G$7:$G$16,$D34,AZ$7:AZ$16,"&gt;="&amp;Mapping!$C$12))/F34,"")</f>
        <v/>
      </c>
    </row>
    <row r="35">
      <c r="D35" s="5">
        <f>'SDG List'!A6</f>
        <v/>
      </c>
      <c r="E35" s="11">
        <f>COUNTIF($F$7:$F$16,$D35)+COUNTIF($G$7:$G$16,$D35)-COUNTIFS($F$7:$F$16,$D35,$G$7:$G$16,$D35)</f>
        <v/>
      </c>
      <c r="F35" s="11">
        <f>COUNTIFS($F$7:$F$16,$D35,AY$7:AY$16,"&gt;=0")+COUNTIFS($G$7:$G$16,$D35,AZ$7:AZ$16,"&gt;=0")</f>
        <v/>
      </c>
      <c r="G35" s="18">
        <f>IFERROR((SUMIF($F$7:$F$16,$D35,AY$7:AY$16)+SUMIF($G$7:$G$16,$D35,AZ$7:AZ$16))/F35,"")</f>
        <v/>
      </c>
      <c r="H35" s="12">
        <f>IFERROR((COUNTIFS($F$7:$F$16,$D35,AY$7:AY$16,"&gt;="&amp;Mapping!$C$12)+COUNTIFS($G$7:$G$16,$D35,AZ$7:AZ$16,"&gt;="&amp;Mapping!$C$12))/F35,"")</f>
        <v/>
      </c>
    </row>
    <row r="36">
      <c r="D36" s="5">
        <f>'SDG List'!A7</f>
        <v/>
      </c>
      <c r="E36" s="11">
        <f>COUNTIF($F$7:$F$16,$D36)+COUNTIF($G$7:$G$16,$D36)-COUNTIFS($F$7:$F$16,$D36,$G$7:$G$16,$D36)</f>
        <v/>
      </c>
      <c r="F36" s="11">
        <f>COUNTIFS($F$7:$F$16,$D36,AY$7:AY$16,"&gt;=0")+COUNTIFS($G$7:$G$16,$D36,AZ$7:AZ$16,"&gt;=0")</f>
        <v/>
      </c>
      <c r="G36" s="18">
        <f>IFERROR((SUMIF($F$7:$F$16,$D36,AY$7:AY$16)+SUMIF($G$7:$G$16,$D36,AZ$7:AZ$16))/F36,"")</f>
        <v/>
      </c>
      <c r="H36" s="12">
        <f>IFERROR((COUNTIFS($F$7:$F$16,$D36,AY$7:AY$16,"&gt;="&amp;Mapping!$C$12)+COUNTIFS($G$7:$G$16,$D36,AZ$7:AZ$16,"&gt;="&amp;Mapping!$C$12))/F36,"")</f>
        <v/>
      </c>
    </row>
    <row r="37">
      <c r="D37" s="5">
        <f>'SDG List'!A8</f>
        <v/>
      </c>
      <c r="E37" s="11">
        <f>COUNTIF($F$7:$F$16,$D37)+COUNTIF($G$7:$G$16,$D37)-COUNTIFS($F$7:$F$16,$D37,$G$7:$G$16,$D37)</f>
        <v/>
      </c>
      <c r="F37" s="11">
        <f>COUNTIFS($F$7:$F$16,$D37,AY$7:AY$16,"&gt;=0")+COUNTIFS($G$7:$G$16,$D37,AZ$7:AZ$16,"&gt;=0")</f>
        <v/>
      </c>
      <c r="G37" s="18">
        <f>IFERROR((SUMIF($F$7:$F$16,$D37,AY$7:AY$16)+SUMIF($G$7:$G$16,$D37,AZ$7:AZ$16))/F37,"")</f>
        <v/>
      </c>
      <c r="H37" s="12">
        <f>IFERROR((COUNTIFS($F$7:$F$16,$D37,AY$7:AY$16,"&gt;="&amp;Mapping!$C$12)+COUNTIFS($G$7:$G$16,$D37,AZ$7:AZ$16,"&gt;="&amp;Mapping!$C$12))/F37,"")</f>
        <v/>
      </c>
    </row>
    <row r="38">
      <c r="D38" s="5">
        <f>'SDG List'!A9</f>
        <v/>
      </c>
      <c r="E38" s="11">
        <f>COUNTIF($F$7:$F$16,$D38)+COUNTIF($G$7:$G$16,$D38)-COUNTIFS($F$7:$F$16,$D38,$G$7:$G$16,$D38)</f>
        <v/>
      </c>
      <c r="F38" s="11">
        <f>COUNTIFS($F$7:$F$16,$D38,AY$7:AY$16,"&gt;=0")+COUNTIFS($G$7:$G$16,$D38,AZ$7:AZ$16,"&gt;=0")</f>
        <v/>
      </c>
      <c r="G38" s="18">
        <f>IFERROR((SUMIF($F$7:$F$16,$D38,AY$7:AY$16)+SUMIF($G$7:$G$16,$D38,AZ$7:AZ$16))/F38,"")</f>
        <v/>
      </c>
      <c r="H38" s="12">
        <f>IFERROR((COUNTIFS($F$7:$F$16,$D38,AY$7:AY$16,"&gt;="&amp;Mapping!$C$12)+COUNTIFS($G$7:$G$16,$D38,AZ$7:AZ$16,"&gt;="&amp;Mapping!$C$12))/F38,"")</f>
        <v/>
      </c>
    </row>
    <row r="39">
      <c r="D39" s="5">
        <f>'SDG List'!A10</f>
        <v/>
      </c>
      <c r="E39" s="11">
        <f>COUNTIF($F$7:$F$16,$D39)+COUNTIF($G$7:$G$16,$D39)-COUNTIFS($F$7:$F$16,$D39,$G$7:$G$16,$D39)</f>
        <v/>
      </c>
      <c r="F39" s="11">
        <f>COUNTIFS($F$7:$F$16,$D39,AY$7:AY$16,"&gt;=0")+COUNTIFS($G$7:$G$16,$D39,AZ$7:AZ$16,"&gt;=0")</f>
        <v/>
      </c>
      <c r="G39" s="18">
        <f>IFERROR((SUMIF($F$7:$F$16,$D39,AY$7:AY$16)+SUMIF($G$7:$G$16,$D39,AZ$7:AZ$16))/F39,"")</f>
        <v/>
      </c>
      <c r="H39" s="12">
        <f>IFERROR((COUNTIFS($F$7:$F$16,$D39,AY$7:AY$16,"&gt;="&amp;Mapping!$C$12)+COUNTIFS($G$7:$G$16,$D39,AZ$7:AZ$16,"&gt;="&amp;Mapping!$C$12))/F39,"")</f>
        <v/>
      </c>
    </row>
    <row r="40">
      <c r="D40" s="5">
        <f>'SDG List'!A11</f>
        <v/>
      </c>
      <c r="E40" s="11">
        <f>COUNTIF($F$7:$F$16,$D40)+COUNTIF($G$7:$G$16,$D40)-COUNTIFS($F$7:$F$16,$D40,$G$7:$G$16,$D40)</f>
        <v/>
      </c>
      <c r="F40" s="11">
        <f>COUNTIFS($F$7:$F$16,$D40,AY$7:AY$16,"&gt;=0")+COUNTIFS($G$7:$G$16,$D40,AZ$7:AZ$16,"&gt;=0")</f>
        <v/>
      </c>
      <c r="G40" s="18">
        <f>IFERROR((SUMIF($F$7:$F$16,$D40,AY$7:AY$16)+SUMIF($G$7:$G$16,$D40,AZ$7:AZ$16))/F40,"")</f>
        <v/>
      </c>
      <c r="H40" s="12">
        <f>IFERROR((COUNTIFS($F$7:$F$16,$D40,AY$7:AY$16,"&gt;="&amp;Mapping!$C$12)+COUNTIFS($G$7:$G$16,$D40,AZ$7:AZ$16,"&gt;="&amp;Mapping!$C$12))/F40,"")</f>
        <v/>
      </c>
    </row>
    <row r="41">
      <c r="D41" s="5">
        <f>'SDG List'!A12</f>
        <v/>
      </c>
      <c r="E41" s="11">
        <f>COUNTIF($F$7:$F$16,$D41)+COUNTIF($G$7:$G$16,$D41)-COUNTIFS($F$7:$F$16,$D41,$G$7:$G$16,$D41)</f>
        <v/>
      </c>
      <c r="F41" s="11">
        <f>COUNTIFS($F$7:$F$16,$D41,AY$7:AY$16,"&gt;=0")+COUNTIFS($G$7:$G$16,$D41,AZ$7:AZ$16,"&gt;=0")</f>
        <v/>
      </c>
      <c r="G41" s="18">
        <f>IFERROR((SUMIF($F$7:$F$16,$D41,AY$7:AY$16)+SUMIF($G$7:$G$16,$D41,AZ$7:AZ$16))/F41,"")</f>
        <v/>
      </c>
      <c r="H41" s="12">
        <f>IFERROR((COUNTIFS($F$7:$F$16,$D41,AY$7:AY$16,"&gt;="&amp;Mapping!$C$12)+COUNTIFS($G$7:$G$16,$D41,AZ$7:AZ$16,"&gt;="&amp;Mapping!$C$12))/F41,"")</f>
        <v/>
      </c>
    </row>
    <row r="42">
      <c r="D42" s="5">
        <f>'SDG List'!A13</f>
        <v/>
      </c>
      <c r="E42" s="11">
        <f>COUNTIF($F$7:$F$16,$D42)+COUNTIF($G$7:$G$16,$D42)-COUNTIFS($F$7:$F$16,$D42,$G$7:$G$16,$D42)</f>
        <v/>
      </c>
      <c r="F42" s="11">
        <f>COUNTIFS($F$7:$F$16,$D42,AY$7:AY$16,"&gt;=0")+COUNTIFS($G$7:$G$16,$D42,AZ$7:AZ$16,"&gt;=0")</f>
        <v/>
      </c>
      <c r="G42" s="18">
        <f>IFERROR((SUMIF($F$7:$F$16,$D42,AY$7:AY$16)+SUMIF($G$7:$G$16,$D42,AZ$7:AZ$16))/F42,"")</f>
        <v/>
      </c>
      <c r="H42" s="12">
        <f>IFERROR((COUNTIFS($F$7:$F$16,$D42,AY$7:AY$16,"&gt;="&amp;Mapping!$C$12)+COUNTIFS($G$7:$G$16,$D42,AZ$7:AZ$16,"&gt;="&amp;Mapping!$C$12))/F42,"")</f>
        <v/>
      </c>
    </row>
    <row r="43">
      <c r="D43" s="5">
        <f>'SDG List'!A14</f>
        <v/>
      </c>
      <c r="E43" s="11">
        <f>COUNTIF($F$7:$F$16,$D43)+COUNTIF($G$7:$G$16,$D43)-COUNTIFS($F$7:$F$16,$D43,$G$7:$G$16,$D43)</f>
        <v/>
      </c>
      <c r="F43" s="11">
        <f>COUNTIFS($F$7:$F$16,$D43,AY$7:AY$16,"&gt;=0")+COUNTIFS($G$7:$G$16,$D43,AZ$7:AZ$16,"&gt;=0")</f>
        <v/>
      </c>
      <c r="G43" s="18">
        <f>IFERROR((SUMIF($F$7:$F$16,$D43,AY$7:AY$16)+SUMIF($G$7:$G$16,$D43,AZ$7:AZ$16))/F43,"")</f>
        <v/>
      </c>
      <c r="H43" s="12">
        <f>IFERROR((COUNTIFS($F$7:$F$16,$D43,AY$7:AY$16,"&gt;="&amp;Mapping!$C$12)+COUNTIFS($G$7:$G$16,$D43,AZ$7:AZ$16,"&gt;="&amp;Mapping!$C$12))/F43,"")</f>
        <v/>
      </c>
    </row>
    <row r="44">
      <c r="D44" s="5">
        <f>'SDG List'!A15</f>
        <v/>
      </c>
      <c r="E44" s="11">
        <f>COUNTIF($F$7:$F$16,$D44)+COUNTIF($G$7:$G$16,$D44)-COUNTIFS($F$7:$F$16,$D44,$G$7:$G$16,$D44)</f>
        <v/>
      </c>
      <c r="F44" s="11">
        <f>COUNTIFS($F$7:$F$16,$D44,AY$7:AY$16,"&gt;=0")+COUNTIFS($G$7:$G$16,$D44,AZ$7:AZ$16,"&gt;=0")</f>
        <v/>
      </c>
      <c r="G44" s="18">
        <f>IFERROR((SUMIF($F$7:$F$16,$D44,AY$7:AY$16)+SUMIF($G$7:$G$16,$D44,AZ$7:AZ$16))/F44,"")</f>
        <v/>
      </c>
      <c r="H44" s="12">
        <f>IFERROR((COUNTIFS($F$7:$F$16,$D44,AY$7:AY$16,"&gt;="&amp;Mapping!$C$12)+COUNTIFS($G$7:$G$16,$D44,AZ$7:AZ$16,"&gt;="&amp;Mapping!$C$12))/F44,"")</f>
        <v/>
      </c>
    </row>
    <row r="45">
      <c r="D45" s="5">
        <f>'SDG List'!A16</f>
        <v/>
      </c>
      <c r="E45" s="11">
        <f>COUNTIF($F$7:$F$16,$D45)+COUNTIF($G$7:$G$16,$D45)-COUNTIFS($F$7:$F$16,$D45,$G$7:$G$16,$D45)</f>
        <v/>
      </c>
      <c r="F45" s="11">
        <f>COUNTIFS($F$7:$F$16,$D45,AY$7:AY$16,"&gt;=0")+COUNTIFS($G$7:$G$16,$D45,AZ$7:AZ$16,"&gt;=0")</f>
        <v/>
      </c>
      <c r="G45" s="18">
        <f>IFERROR((SUMIF($F$7:$F$16,$D45,AY$7:AY$16)+SUMIF($G$7:$G$16,$D45,AZ$7:AZ$16))/F45,"")</f>
        <v/>
      </c>
      <c r="H45" s="12">
        <f>IFERROR((COUNTIFS($F$7:$F$16,$D45,AY$7:AY$16,"&gt;="&amp;Mapping!$C$12)+COUNTIFS($G$7:$G$16,$D45,AZ$7:AZ$16,"&gt;="&amp;Mapping!$C$12))/F45,"")</f>
        <v/>
      </c>
    </row>
    <row r="46">
      <c r="D46" s="5">
        <f>'SDG List'!A17</f>
        <v/>
      </c>
      <c r="E46" s="11">
        <f>COUNTIF($F$7:$F$16,$D46)+COUNTIF($G$7:$G$16,$D46)-COUNTIFS($F$7:$F$16,$D46,$G$7:$G$16,$D46)</f>
        <v/>
      </c>
      <c r="F46" s="11">
        <f>COUNTIFS($F$7:$F$16,$D46,AY$7:AY$16,"&gt;=0")+COUNTIFS($G$7:$G$16,$D46,AZ$7:AZ$16,"&gt;=0")</f>
        <v/>
      </c>
      <c r="G46" s="18">
        <f>IFERROR((SUMIF($F$7:$F$16,$D46,AY$7:AY$16)+SUMIF($G$7:$G$16,$D46,AZ$7:AZ$16))/F46,"")</f>
        <v/>
      </c>
      <c r="H46" s="12">
        <f>IFERROR((COUNTIFS($F$7:$F$16,$D46,AY$7:AY$16,"&gt;="&amp;Mapping!$C$12)+COUNTIFS($G$7:$G$16,$D46,AZ$7:AZ$16,"&gt;="&amp;Mapping!$C$12))/F46,"")</f>
        <v/>
      </c>
    </row>
    <row r="47">
      <c r="D47" s="5">
        <f>'SDG List'!A18</f>
        <v/>
      </c>
      <c r="E47" s="11">
        <f>COUNTIF($F$7:$F$16,$D47)+COUNTIF($G$7:$G$16,$D47)-COUNTIFS($F$7:$F$16,$D47,$G$7:$G$16,$D47)</f>
        <v/>
      </c>
      <c r="F47" s="11">
        <f>COUNTIFS($F$7:$F$16,$D47,AY$7:AY$16,"&gt;=0")+COUNTIFS($G$7:$G$16,$D47,AZ$7:AZ$16,"&gt;=0")</f>
        <v/>
      </c>
      <c r="G47" s="18">
        <f>IFERROR((SUMIF($F$7:$F$16,$D47,AY$7:AY$16)+SUMIF($G$7:$G$16,$D47,AZ$7:AZ$16))/F47,"")</f>
        <v/>
      </c>
      <c r="H47" s="12">
        <f>IFERROR((COUNTIFS($F$7:$F$16,$D47,AY$7:AY$16,"&gt;="&amp;Mapping!$C$12)+COUNTIFS($G$7:$G$16,$D47,AZ$7:AZ$16,"&gt;="&amp;Mapping!$C$12))/F47,"")</f>
        <v/>
      </c>
    </row>
  </sheetData>
  <sheetProtection selectLockedCells="0" selectUnlockedCells="0" sheet="1" objects="0" insertRows="1" insertHyperlinks="1" autoFilter="1" scenarios="0" formatColumns="0" deleteColumns="1" insertColumns="1" pivotTables="1" deleteRows="1" formatCells="1" formatRows="0" sort="1"/>
  <mergeCells count="29">
    <mergeCell ref="E5:E6"/>
    <mergeCell ref="AP2:BB2"/>
    <mergeCell ref="AE4:AO4"/>
    <mergeCell ref="BA4:BD4"/>
    <mergeCell ref="F5:F6"/>
    <mergeCell ref="B2:C2"/>
    <mergeCell ref="AE3:AF3"/>
    <mergeCell ref="T4:AD4"/>
    <mergeCell ref="AY4:AZ4"/>
    <mergeCell ref="BP4:BQ4"/>
    <mergeCell ref="BE4:BO4"/>
    <mergeCell ref="A1:AO1"/>
    <mergeCell ref="AG3:AO3"/>
    <mergeCell ref="I3:J3"/>
    <mergeCell ref="A5:A6"/>
    <mergeCell ref="G5:G6"/>
    <mergeCell ref="AP4:AX4"/>
    <mergeCell ref="V3:AD3"/>
    <mergeCell ref="K3:S3"/>
    <mergeCell ref="B5:B6"/>
    <mergeCell ref="D5:D6"/>
    <mergeCell ref="A4:H4"/>
    <mergeCell ref="H5:H6"/>
    <mergeCell ref="I4:S4"/>
    <mergeCell ref="AP1:BQ1"/>
    <mergeCell ref="D29:H29"/>
    <mergeCell ref="T3:U3"/>
    <mergeCell ref="E2:H2"/>
    <mergeCell ref="C5:C6"/>
  </mergeCells>
  <conditionalFormatting sqref="BD7:BD16">
    <cfRule type="cellIs" priority="1" operator="equal" dxfId="4">
      <formula>"Shortlisted"</formula>
    </cfRule>
  </conditionalFormatting>
  <conditionalFormatting sqref="S7:S16">
    <cfRule type="expression" priority="2" dxfId="5">
      <formula>OR($G7="",$G7=$F7)</formula>
    </cfRule>
  </conditionalFormatting>
  <conditionalFormatting sqref="AD7:AD16">
    <cfRule type="expression" priority="3" dxfId="5">
      <formula>OR($G7="",$G7=$F7)</formula>
    </cfRule>
  </conditionalFormatting>
  <conditionalFormatting sqref="AO7:AO16">
    <cfRule type="expression" priority="4" dxfId="5">
      <formula>OR($G7="",$G7=$F7)</formula>
    </cfRule>
  </conditionalFormatting>
  <conditionalFormatting sqref="BE22:BQ22">
    <cfRule type="expression" priority="5" dxfId="0">
      <formula>AND(ISNUMBER(BE22),BE22=3)</formula>
    </cfRule>
    <cfRule type="expression" priority="6" dxfId="1">
      <formula>AND(ISNUMBER(BE22),BE22=2)</formula>
    </cfRule>
    <cfRule type="expression" priority="7" dxfId="2">
      <formula>AND(ISNUMBER(BE22),BE22=1)</formula>
    </cfRule>
    <cfRule type="expression" priority="8" dxfId="3">
      <formula>AND(ISNUMBER(BE22),BE22=0)</formula>
    </cfRule>
  </conditionalFormatting>
  <dataValidations count="31">
    <dataValidation sqref="I7:I16" showDropDown="0" showInputMessage="0" showErrorMessage="1" allowBlank="0" errorTitle="Score out of range" error="Enter a score between 0 and the criterion's Max Marks (row 6)." type="decimal" operator="between">
      <formula1>0</formula1>
      <formula2>$I$6</formula2>
    </dataValidation>
    <dataValidation sqref="J7:J16" showDropDown="0" showInputMessage="0" showErrorMessage="1" allowBlank="0" errorTitle="Score out of range" error="Enter a score between 0 and the criterion's Max Marks (row 6)." type="decimal" operator="between">
      <formula1>0</formula1>
      <formula2>$J$6</formula2>
    </dataValidation>
    <dataValidation sqref="K7:K16" showDropDown="0" showInputMessage="0" showErrorMessage="1" allowBlank="0" errorTitle="Score out of range" error="Enter a score between 0 and the criterion's Max Marks (row 6)." type="decimal" operator="between">
      <formula1>0</formula1>
      <formula2>$K$6</formula2>
    </dataValidation>
    <dataValidation sqref="L7:L16" showDropDown="0" showInputMessage="0" showErrorMessage="1" allowBlank="0" errorTitle="Score out of range" error="Enter a score between 0 and the criterion's Max Marks (row 6)." type="decimal" operator="between">
      <formula1>0</formula1>
      <formula2>$L$6</formula2>
    </dataValidation>
    <dataValidation sqref="M7:M16" showDropDown="0" showInputMessage="0" showErrorMessage="1" allowBlank="0" errorTitle="Score out of range" error="Enter a score between 0 and the criterion's Max Marks (row 6)." type="decimal" operator="between">
      <formula1>0</formula1>
      <formula2>$M$6</formula2>
    </dataValidation>
    <dataValidation sqref="N7:N16" showDropDown="0" showInputMessage="0" showErrorMessage="1" allowBlank="0" errorTitle="Score out of range" error="Enter a score between 0 and the criterion's Max Marks (row 6)." type="decimal" operator="between">
      <formula1>0</formula1>
      <formula2>$N$6</formula2>
    </dataValidation>
    <dataValidation sqref="O7:O16" showDropDown="0" showInputMessage="0" showErrorMessage="1" allowBlank="0" errorTitle="Score out of range" error="Enter a score between 0 and the criterion's Max Marks (row 6)." type="decimal" operator="between">
      <formula1>0</formula1>
      <formula2>$O$6</formula2>
    </dataValidation>
    <dataValidation sqref="P7:P16" showDropDown="0" showInputMessage="0" showErrorMessage="1" allowBlank="0" errorTitle="Score out of range" error="Enter a score between 0 and the criterion's Max Marks (row 6)." type="decimal" operator="between">
      <formula1>0</formula1>
      <formula2>$P$6</formula2>
    </dataValidation>
    <dataValidation sqref="Q7:Q16" showDropDown="0" showInputMessage="0" showErrorMessage="1" allowBlank="0" errorTitle="Score out of range" error="Enter a score between 0 and the criterion's Max Marks (row 6)." type="decimal" operator="between">
      <formula1>0</formula1>
      <formula2>$Q$6</formula2>
    </dataValidation>
    <dataValidation sqref="R7:S1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T7:T16" showDropDown="0" showInputMessage="0" showErrorMessage="1" allowBlank="0" errorTitle="Score out of range" error="Enter a score between 0 and the criterion's Max Marks (row 6)." type="decimal" operator="between">
      <formula1>0</formula1>
      <formula2>$T$6</formula2>
    </dataValidation>
    <dataValidation sqref="U7:U16" showDropDown="0" showInputMessage="0" showErrorMessage="1" allowBlank="0" errorTitle="Score out of range" error="Enter a score between 0 and the criterion's Max Marks (row 6)." type="decimal" operator="between">
      <formula1>0</formula1>
      <formula2>$U$6</formula2>
    </dataValidation>
    <dataValidation sqref="V7:V16" showDropDown="0" showInputMessage="0" showErrorMessage="1" allowBlank="0" errorTitle="Score out of range" error="Enter a score between 0 and the criterion's Max Marks (row 6)." type="decimal" operator="between">
      <formula1>0</formula1>
      <formula2>$V$6</formula2>
    </dataValidation>
    <dataValidation sqref="W7:W16" showDropDown="0" showInputMessage="0" showErrorMessage="1" allowBlank="0" errorTitle="Score out of range" error="Enter a score between 0 and the criterion's Max Marks (row 6)." type="decimal" operator="between">
      <formula1>0</formula1>
      <formula2>$W$6</formula2>
    </dataValidation>
    <dataValidation sqref="X7:X16" showDropDown="0" showInputMessage="0" showErrorMessage="1" allowBlank="0" errorTitle="Score out of range" error="Enter a score between 0 and the criterion's Max Marks (row 6)." type="decimal" operator="between">
      <formula1>0</formula1>
      <formula2>$X$6</formula2>
    </dataValidation>
    <dataValidation sqref="Y7:Y16" showDropDown="0" showInputMessage="0" showErrorMessage="1" allowBlank="0" errorTitle="Score out of range" error="Enter a score between 0 and the criterion's Max Marks (row 6)." type="decimal" operator="between">
      <formula1>0</formula1>
      <formula2>$Y$6</formula2>
    </dataValidation>
    <dataValidation sqref="Z7:Z16" showDropDown="0" showInputMessage="0" showErrorMessage="1" allowBlank="0" errorTitle="Score out of range" error="Enter a score between 0 and the criterion's Max Marks (row 6)." type="decimal" operator="between">
      <formula1>0</formula1>
      <formula2>$Z$6</formula2>
    </dataValidation>
    <dataValidation sqref="AA7:AA16" showDropDown="0" showInputMessage="0" showErrorMessage="1" allowBlank="0" errorTitle="Score out of range" error="Enter a score between 0 and the criterion's Max Marks (row 6)." type="decimal" operator="between">
      <formula1>0</formula1>
      <formula2>$AA$6</formula2>
    </dataValidation>
    <dataValidation sqref="AB7:AB16" showDropDown="0" showInputMessage="0" showErrorMessage="1" allowBlank="0" errorTitle="Score out of range" error="Enter a score between 0 and the criterion's Max Marks (row 6)." type="decimal" operator="between">
      <formula1>0</formula1>
      <formula2>$AB$6</formula2>
    </dataValidation>
    <dataValidation sqref="AC7:AD1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AE7:AE16" showDropDown="0" showInputMessage="0" showErrorMessage="1" allowBlank="0" errorTitle="Score out of range" error="Enter a score between 0 and the criterion's Max Marks (row 6)." type="decimal" operator="between">
      <formula1>0</formula1>
      <formula2>$AE$6</formula2>
    </dataValidation>
    <dataValidation sqref="AF7:AF16" showDropDown="0" showInputMessage="0" showErrorMessage="1" allowBlank="0" errorTitle="Score out of range" error="Enter a score between 0 and the criterion's Max Marks (row 6)." type="decimal" operator="between">
      <formula1>0</formula1>
      <formula2>$AF$6</formula2>
    </dataValidation>
    <dataValidation sqref="AG7:AG16" showDropDown="0" showInputMessage="0" showErrorMessage="1" allowBlank="0" errorTitle="Score out of range" error="Enter a score between 0 and the criterion's Max Marks (row 6)." type="decimal" operator="between">
      <formula1>0</formula1>
      <formula2>$AG$6</formula2>
    </dataValidation>
    <dataValidation sqref="AH7:AH16" showDropDown="0" showInputMessage="0" showErrorMessage="1" allowBlank="0" errorTitle="Score out of range" error="Enter a score between 0 and the criterion's Max Marks (row 6)." type="decimal" operator="between">
      <formula1>0</formula1>
      <formula2>$AH$6</formula2>
    </dataValidation>
    <dataValidation sqref="AI7:AI16" showDropDown="0" showInputMessage="0" showErrorMessage="1" allowBlank="0" errorTitle="Score out of range" error="Enter a score between 0 and the criterion's Max Marks (row 6)." type="decimal" operator="between">
      <formula1>0</formula1>
      <formula2>$AI$6</formula2>
    </dataValidation>
    <dataValidation sqref="AJ7:AJ16" showDropDown="0" showInputMessage="0" showErrorMessage="1" allowBlank="0" errorTitle="Score out of range" error="Enter a score between 0 and the criterion's Max Marks (row 6)." type="decimal" operator="between">
      <formula1>0</formula1>
      <formula2>$AJ$6</formula2>
    </dataValidation>
    <dataValidation sqref="AK7:AK16" showDropDown="0" showInputMessage="0" showErrorMessage="1" allowBlank="0" errorTitle="Score out of range" error="Enter a score between 0 and the criterion's Max Marks (row 6)." type="decimal" operator="between">
      <formula1>0</formula1>
      <formula2>$AK$6</formula2>
    </dataValidation>
    <dataValidation sqref="AL7:AL16" showDropDown="0" showInputMessage="0" showErrorMessage="1" allowBlank="0" errorTitle="Score out of range" error="Enter a score between 0 and the criterion's Max Marks (row 6)." type="decimal" operator="between">
      <formula1>0</formula1>
      <formula2>$AL$6</formula2>
    </dataValidation>
    <dataValidation sqref="AM7:AM16" showDropDown="0" showInputMessage="0" showErrorMessage="1" allowBlank="0" errorTitle="Score out of range" error="Enter a score between 0 and the criterion's Max Marks (row 6)." type="decimal" operator="between">
      <formula1>0</formula1>
      <formula2>$AM$6</formula2>
    </dataValidation>
    <dataValidation sqref="AN7:AO16" showDropDown="0" showInputMessage="1" showErrorMessage="1" allowBlank="0" errorTitle="SDG strength" error="Enter 0 (None), 1 (Low), 2 (Medium) or 3 (High)." promptTitle="SDG contribution strength" prompt="3 High: advances a named target with a measurable indicator. 2 Medium: clearly supports the goal. 1 Low: indirect. 0 None: claimed only." type="whole" operator="between">
      <formula1>0</formula1>
      <formula2>3</formula2>
    </dataValidation>
    <dataValidation sqref="F7:G16" showDropDown="0" showInputMessage="0" showErrorMessage="1" allowBlank="1" errorTitle="Pick an SDG" error="Select an SDG from the list." type="list">
      <formula1>SDGList</formula1>
    </dataValidation>
  </dataValidations>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52" customWidth="1" min="1" max="1"/>
  </cols>
  <sheetData>
    <row r="1">
      <c r="A1" s="9" t="inlineStr">
        <is>
          <t>Sustainable Development Goals (dropdown source)</t>
        </is>
      </c>
    </row>
    <row r="2">
      <c r="A2" s="5" t="inlineStr">
        <is>
          <t>SDG 1 - No Poverty</t>
        </is>
      </c>
    </row>
    <row r="3">
      <c r="A3" s="5" t="inlineStr">
        <is>
          <t>SDG 2 - Zero Hunger</t>
        </is>
      </c>
    </row>
    <row r="4">
      <c r="A4" s="5" t="inlineStr">
        <is>
          <t>SDG 3 - Good Health and Well-being</t>
        </is>
      </c>
    </row>
    <row r="5">
      <c r="A5" s="5" t="inlineStr">
        <is>
          <t>SDG 4 - Quality Education</t>
        </is>
      </c>
    </row>
    <row r="6">
      <c r="A6" s="5" t="inlineStr">
        <is>
          <t>SDG 5 - Gender Equality</t>
        </is>
      </c>
    </row>
    <row r="7">
      <c r="A7" s="5" t="inlineStr">
        <is>
          <t>SDG 6 - Clean Water and Sanitation</t>
        </is>
      </c>
    </row>
    <row r="8">
      <c r="A8" s="5" t="inlineStr">
        <is>
          <t>SDG 7 - Affordable and Clean Energy</t>
        </is>
      </c>
    </row>
    <row r="9">
      <c r="A9" s="5" t="inlineStr">
        <is>
          <t>SDG 8 - Decent Work and Economic Growth</t>
        </is>
      </c>
    </row>
    <row r="10">
      <c r="A10" s="5" t="inlineStr">
        <is>
          <t>SDG 9 - Industry, Innovation and Infrastructure</t>
        </is>
      </c>
    </row>
    <row r="11">
      <c r="A11" s="5" t="inlineStr">
        <is>
          <t>SDG 10 - Reduced Inequalities</t>
        </is>
      </c>
    </row>
    <row r="12">
      <c r="A12" s="5" t="inlineStr">
        <is>
          <t>SDG 11 - Sustainable Cities and Communities</t>
        </is>
      </c>
    </row>
    <row r="13">
      <c r="A13" s="5" t="inlineStr">
        <is>
          <t>SDG 12 - Responsible Consumption and Production</t>
        </is>
      </c>
    </row>
    <row r="14">
      <c r="A14" s="5" t="inlineStr">
        <is>
          <t>SDG 13 - Climate Action</t>
        </is>
      </c>
    </row>
    <row r="15">
      <c r="A15" s="5" t="inlineStr">
        <is>
          <t>SDG 14 - Life Below Water</t>
        </is>
      </c>
    </row>
    <row r="16">
      <c r="A16" s="5" t="inlineStr">
        <is>
          <t>SDG 15 - Life on Land</t>
        </is>
      </c>
    </row>
    <row r="17">
      <c r="A17" s="5" t="inlineStr">
        <is>
          <t>SDG 16 - Peace, Justice and Strong Institutions</t>
        </is>
      </c>
    </row>
    <row r="18">
      <c r="A18" s="5" t="inlineStr">
        <is>
          <t>SDG 17 - Partnerships for the Goals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2026-09-23T18:09:34Z</dcterms:created>
  <dcterms:modified xmlns:dcterms="http://purl.org/dc/terms/" xmlns:xsi="http://www.w3.org/2001/XMLSchema-instance" xsi:type="dcterms:W3CDTF">2026-09-23T18:09:35Z</dcterms:modified>
</cp:coreProperties>
</file>